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Telegram Desktop\"/>
    </mc:Choice>
  </mc:AlternateContent>
  <xr:revisionPtr revIDLastSave="0" documentId="13_ncr:1_{352891D3-8052-4520-A28C-2E299D23CDCA}" xr6:coauthVersionLast="47" xr6:coauthVersionMax="47" xr10:uidLastSave="{00000000-0000-0000-0000-000000000000}"/>
  <bookViews>
    <workbookView xWindow="-110" yWindow="-110" windowWidth="25820" windowHeight="14620" activeTab="2" xr2:uid="{00000000-000D-0000-FFFF-FFFF00000000}"/>
  </bookViews>
  <sheets>
    <sheet name="Shipments" sheetId="1" r:id="rId1"/>
    <sheet name="Analysis" sheetId="3" r:id="rId2"/>
    <sheet name="Dashboard" sheetId="4" r:id="rId3"/>
    <sheet name="Cost_Breakdown" sheetId="2" state="hidden" r:id="rId4"/>
  </sheets>
  <definedNames>
    <definedName name="_xlcn.WorksheetConnection_Freight_Cost_Analysis_Dataset.xlsxTable11" hidden="1">Table1[]</definedName>
    <definedName name="AVGC">Analysis!$C$4</definedName>
    <definedName name="FCV">Analysis!$B$4</definedName>
    <definedName name="OTD">Analysis!$F$4</definedName>
    <definedName name="Slicer_Origin">#N/A</definedName>
    <definedName name="TFC">Analysis!$A$4</definedName>
  </definedNames>
  <calcPr calcId="0"/>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reight_Cost_Analysis_Dataset.xlsx!Table1"/>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041918-F902-41A4-B6E8-3AD2F66FEAE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FB73880-1AF1-4BA3-813F-3602EB82FC82}" name="WorksheetConnection_Freight_Cost_Analysis_Dataset.xlsx!Table1" type="102" refreshedVersion="7" minRefreshableVersion="5">
    <extLst>
      <ext xmlns:x15="http://schemas.microsoft.com/office/spreadsheetml/2010/11/main" uri="{DE250136-89BD-433C-8126-D09CA5730AF9}">
        <x15:connection id="Table1" autoDelete="1">
          <x15:rangePr sourceName="_xlcn.WorksheetConnection_Freight_Cost_Analysis_Dataset.xlsxTable11"/>
        </x15:connection>
      </ext>
    </extLst>
  </connection>
</connections>
</file>

<file path=xl/sharedStrings.xml><?xml version="1.0" encoding="utf-8"?>
<sst xmlns="http://schemas.openxmlformats.org/spreadsheetml/2006/main" count="1831" uniqueCount="303">
  <si>
    <t>Shipment_ID</t>
  </si>
  <si>
    <t>Date</t>
  </si>
  <si>
    <t>Origin</t>
  </si>
  <si>
    <t>Destination</t>
  </si>
  <si>
    <t>Distance_KM</t>
  </si>
  <si>
    <t>Carrier</t>
  </si>
  <si>
    <t>Mode</t>
  </si>
  <si>
    <t>Planned_Cost</t>
  </si>
  <si>
    <t>Actual_Cost</t>
  </si>
  <si>
    <t>Delivery_Status</t>
  </si>
  <si>
    <t>Delivery_Days</t>
  </si>
  <si>
    <t>SH0001</t>
  </si>
  <si>
    <t>Abuja</t>
  </si>
  <si>
    <t>Lagos</t>
  </si>
  <si>
    <t>FedEx</t>
  </si>
  <si>
    <t>Air</t>
  </si>
  <si>
    <t>On-Time</t>
  </si>
  <si>
    <t>SH0002</t>
  </si>
  <si>
    <t>Takoradi</t>
  </si>
  <si>
    <t>Aramex</t>
  </si>
  <si>
    <t>Road</t>
  </si>
  <si>
    <t>SH0003</t>
  </si>
  <si>
    <t>Accra</t>
  </si>
  <si>
    <t>Nairobi</t>
  </si>
  <si>
    <t>SH0004</t>
  </si>
  <si>
    <t>Port Harcourt</t>
  </si>
  <si>
    <t>TransLink</t>
  </si>
  <si>
    <t>SH0005</t>
  </si>
  <si>
    <t>SH0006</t>
  </si>
  <si>
    <t>SH0007</t>
  </si>
  <si>
    <t>Mombasa</t>
  </si>
  <si>
    <t>GIG Logistics</t>
  </si>
  <si>
    <t>Delayed</t>
  </si>
  <si>
    <t>SH0008</t>
  </si>
  <si>
    <t>SH0009</t>
  </si>
  <si>
    <t>SH0010</t>
  </si>
  <si>
    <t>SH0011</t>
  </si>
  <si>
    <t>SH0012</t>
  </si>
  <si>
    <t>Kumasi</t>
  </si>
  <si>
    <t>SH0013</t>
  </si>
  <si>
    <t>SH0014</t>
  </si>
  <si>
    <t>SH0015</t>
  </si>
  <si>
    <t>SH0016</t>
  </si>
  <si>
    <t>DHL</t>
  </si>
  <si>
    <t>SH0017</t>
  </si>
  <si>
    <t>SH0018</t>
  </si>
  <si>
    <t>UPS</t>
  </si>
  <si>
    <t>SH0019</t>
  </si>
  <si>
    <t>SH0020</t>
  </si>
  <si>
    <t>SH0021</t>
  </si>
  <si>
    <t>SH0022</t>
  </si>
  <si>
    <t>SH0023</t>
  </si>
  <si>
    <t>SH0024</t>
  </si>
  <si>
    <t>SH0025</t>
  </si>
  <si>
    <t>SH0026</t>
  </si>
  <si>
    <t>SH0027</t>
  </si>
  <si>
    <t>SH0028</t>
  </si>
  <si>
    <t>SH0029</t>
  </si>
  <si>
    <t>SH0030</t>
  </si>
  <si>
    <t>SH0031</t>
  </si>
  <si>
    <t>SH0032</t>
  </si>
  <si>
    <t>SH0033</t>
  </si>
  <si>
    <t>SH0034</t>
  </si>
  <si>
    <t>SH0035</t>
  </si>
  <si>
    <t>SH0036</t>
  </si>
  <si>
    <t>SH0037</t>
  </si>
  <si>
    <t>SH0038</t>
  </si>
  <si>
    <t>SH0039</t>
  </si>
  <si>
    <t>SH0040</t>
  </si>
  <si>
    <t>SH0041</t>
  </si>
  <si>
    <t>SH0042</t>
  </si>
  <si>
    <t>SH0043</t>
  </si>
  <si>
    <t>SH0044</t>
  </si>
  <si>
    <t>SH0045</t>
  </si>
  <si>
    <t>SH0046</t>
  </si>
  <si>
    <t>SH0047</t>
  </si>
  <si>
    <t>SH0048</t>
  </si>
  <si>
    <t>SH0049</t>
  </si>
  <si>
    <t>SH0050</t>
  </si>
  <si>
    <t>SH0051</t>
  </si>
  <si>
    <t>SH0052</t>
  </si>
  <si>
    <t>SH0053</t>
  </si>
  <si>
    <t>SH0054</t>
  </si>
  <si>
    <t>SH0055</t>
  </si>
  <si>
    <t>SH0056</t>
  </si>
  <si>
    <t>SH0057</t>
  </si>
  <si>
    <t>SH0058</t>
  </si>
  <si>
    <t>SH0059</t>
  </si>
  <si>
    <t>SH0060</t>
  </si>
  <si>
    <t>SH0061</t>
  </si>
  <si>
    <t>SH0062</t>
  </si>
  <si>
    <t>SH0063</t>
  </si>
  <si>
    <t>SH0064</t>
  </si>
  <si>
    <t>SH0065</t>
  </si>
  <si>
    <t>SH0066</t>
  </si>
  <si>
    <t>SH0067</t>
  </si>
  <si>
    <t>SH0068</t>
  </si>
  <si>
    <t>SH0069</t>
  </si>
  <si>
    <t>SH0070</t>
  </si>
  <si>
    <t>SH0071</t>
  </si>
  <si>
    <t>SH0072</t>
  </si>
  <si>
    <t>SH0073</t>
  </si>
  <si>
    <t>SH0074</t>
  </si>
  <si>
    <t>SH0075</t>
  </si>
  <si>
    <t>SH0076</t>
  </si>
  <si>
    <t>SH0077</t>
  </si>
  <si>
    <t>SH0078</t>
  </si>
  <si>
    <t>SH0079</t>
  </si>
  <si>
    <t>SH0080</t>
  </si>
  <si>
    <t>SH0081</t>
  </si>
  <si>
    <t>SH0082</t>
  </si>
  <si>
    <t>SH0083</t>
  </si>
  <si>
    <t>SH0084</t>
  </si>
  <si>
    <t>SH0085</t>
  </si>
  <si>
    <t>SH0086</t>
  </si>
  <si>
    <t>SH0087</t>
  </si>
  <si>
    <t>SH0088</t>
  </si>
  <si>
    <t>SH0089</t>
  </si>
  <si>
    <t>SH0090</t>
  </si>
  <si>
    <t>SH0091</t>
  </si>
  <si>
    <t>SH0092</t>
  </si>
  <si>
    <t>SH0093</t>
  </si>
  <si>
    <t>SH0094</t>
  </si>
  <si>
    <t>SH0095</t>
  </si>
  <si>
    <t>SH0096</t>
  </si>
  <si>
    <t>SH0097</t>
  </si>
  <si>
    <t>SH0098</t>
  </si>
  <si>
    <t>SH0099</t>
  </si>
  <si>
    <t>SH0100</t>
  </si>
  <si>
    <t>SH0101</t>
  </si>
  <si>
    <t>SH0102</t>
  </si>
  <si>
    <t>SH0103</t>
  </si>
  <si>
    <t>SH0104</t>
  </si>
  <si>
    <t>SH0105</t>
  </si>
  <si>
    <t>SH0106</t>
  </si>
  <si>
    <t>SH0107</t>
  </si>
  <si>
    <t>SH0108</t>
  </si>
  <si>
    <t>SH0109</t>
  </si>
  <si>
    <t>SH0110</t>
  </si>
  <si>
    <t>SH0111</t>
  </si>
  <si>
    <t>SH0112</t>
  </si>
  <si>
    <t>SH0113</t>
  </si>
  <si>
    <t>SH0114</t>
  </si>
  <si>
    <t>SH0115</t>
  </si>
  <si>
    <t>SH0116</t>
  </si>
  <si>
    <t>SH0117</t>
  </si>
  <si>
    <t>SH0118</t>
  </si>
  <si>
    <t>SH0119</t>
  </si>
  <si>
    <t>SH0120</t>
  </si>
  <si>
    <t>SH0121</t>
  </si>
  <si>
    <t>SH0122</t>
  </si>
  <si>
    <t>SH0123</t>
  </si>
  <si>
    <t>SH0124</t>
  </si>
  <si>
    <t>SH0125</t>
  </si>
  <si>
    <t>SH0126</t>
  </si>
  <si>
    <t>SH0127</t>
  </si>
  <si>
    <t>SH0128</t>
  </si>
  <si>
    <t>SH0129</t>
  </si>
  <si>
    <t>SH0130</t>
  </si>
  <si>
    <t>SH0131</t>
  </si>
  <si>
    <t>SH0132</t>
  </si>
  <si>
    <t>SH0133</t>
  </si>
  <si>
    <t>SH0134</t>
  </si>
  <si>
    <t>SH0135</t>
  </si>
  <si>
    <t>SH0136</t>
  </si>
  <si>
    <t>SH0137</t>
  </si>
  <si>
    <t>SH0138</t>
  </si>
  <si>
    <t>SH0139</t>
  </si>
  <si>
    <t>SH0140</t>
  </si>
  <si>
    <t>SH0141</t>
  </si>
  <si>
    <t>SH0142</t>
  </si>
  <si>
    <t>SH0143</t>
  </si>
  <si>
    <t>SH0144</t>
  </si>
  <si>
    <t>SH0145</t>
  </si>
  <si>
    <t>SH0146</t>
  </si>
  <si>
    <t>SH0147</t>
  </si>
  <si>
    <t>SH0148</t>
  </si>
  <si>
    <t>SH0149</t>
  </si>
  <si>
    <t>SH0150</t>
  </si>
  <si>
    <t>SH0151</t>
  </si>
  <si>
    <t>SH0152</t>
  </si>
  <si>
    <t>SH0153</t>
  </si>
  <si>
    <t>SH0154</t>
  </si>
  <si>
    <t>SH0155</t>
  </si>
  <si>
    <t>SH0156</t>
  </si>
  <si>
    <t>SH0157</t>
  </si>
  <si>
    <t>SH0158</t>
  </si>
  <si>
    <t>SH0159</t>
  </si>
  <si>
    <t>SH0160</t>
  </si>
  <si>
    <t>SH0161</t>
  </si>
  <si>
    <t>SH0162</t>
  </si>
  <si>
    <t>SH0163</t>
  </si>
  <si>
    <t>SH0164</t>
  </si>
  <si>
    <t>SH0165</t>
  </si>
  <si>
    <t>SH0166</t>
  </si>
  <si>
    <t>SH0167</t>
  </si>
  <si>
    <t>SH0168</t>
  </si>
  <si>
    <t>SH0169</t>
  </si>
  <si>
    <t>SH0170</t>
  </si>
  <si>
    <t>SH0171</t>
  </si>
  <si>
    <t>SH0172</t>
  </si>
  <si>
    <t>SH0173</t>
  </si>
  <si>
    <t>SH0174</t>
  </si>
  <si>
    <t>SH0175</t>
  </si>
  <si>
    <t>SH0176</t>
  </si>
  <si>
    <t>SH0177</t>
  </si>
  <si>
    <t>SH0178</t>
  </si>
  <si>
    <t>SH0179</t>
  </si>
  <si>
    <t>SH0180</t>
  </si>
  <si>
    <t>SH0181</t>
  </si>
  <si>
    <t>SH0182</t>
  </si>
  <si>
    <t>SH0183</t>
  </si>
  <si>
    <t>SH0184</t>
  </si>
  <si>
    <t>SH0185</t>
  </si>
  <si>
    <t>SH0186</t>
  </si>
  <si>
    <t>SH0187</t>
  </si>
  <si>
    <t>SH0188</t>
  </si>
  <si>
    <t>SH0189</t>
  </si>
  <si>
    <t>SH0190</t>
  </si>
  <si>
    <t>SH0191</t>
  </si>
  <si>
    <t>SH0192</t>
  </si>
  <si>
    <t>SH0193</t>
  </si>
  <si>
    <t>SH0194</t>
  </si>
  <si>
    <t>SH0195</t>
  </si>
  <si>
    <t>SH0196</t>
  </si>
  <si>
    <t>SH0197</t>
  </si>
  <si>
    <t>SH0198</t>
  </si>
  <si>
    <t>SH0199</t>
  </si>
  <si>
    <t>SH0200</t>
  </si>
  <si>
    <t>SH0201</t>
  </si>
  <si>
    <t>SH0202</t>
  </si>
  <si>
    <t>SH0203</t>
  </si>
  <si>
    <t>SH0204</t>
  </si>
  <si>
    <t>SH0205</t>
  </si>
  <si>
    <t>SH0206</t>
  </si>
  <si>
    <t>SH0207</t>
  </si>
  <si>
    <t>SH0208</t>
  </si>
  <si>
    <t>SH0209</t>
  </si>
  <si>
    <t>SH0210</t>
  </si>
  <si>
    <t>SH0211</t>
  </si>
  <si>
    <t>SH0212</t>
  </si>
  <si>
    <t>SH0213</t>
  </si>
  <si>
    <t>SH0214</t>
  </si>
  <si>
    <t>SH0215</t>
  </si>
  <si>
    <t>SH0216</t>
  </si>
  <si>
    <t>SH0217</t>
  </si>
  <si>
    <t>SH0218</t>
  </si>
  <si>
    <t>SH0219</t>
  </si>
  <si>
    <t>SH0220</t>
  </si>
  <si>
    <t>SH0221</t>
  </si>
  <si>
    <t>SH0222</t>
  </si>
  <si>
    <t>SH0223</t>
  </si>
  <si>
    <t>SH0224</t>
  </si>
  <si>
    <t>SH0225</t>
  </si>
  <si>
    <t>SH0226</t>
  </si>
  <si>
    <t>SH0227</t>
  </si>
  <si>
    <t>SH0228</t>
  </si>
  <si>
    <t>SH0229</t>
  </si>
  <si>
    <t>SH0230</t>
  </si>
  <si>
    <t>SH0231</t>
  </si>
  <si>
    <t>SH0232</t>
  </si>
  <si>
    <t>SH0233</t>
  </si>
  <si>
    <t>SH0234</t>
  </si>
  <si>
    <t>SH0235</t>
  </si>
  <si>
    <t>SH0236</t>
  </si>
  <si>
    <t>SH0237</t>
  </si>
  <si>
    <t>SH0238</t>
  </si>
  <si>
    <t>SH0239</t>
  </si>
  <si>
    <t>SH0240</t>
  </si>
  <si>
    <t>SH0241</t>
  </si>
  <si>
    <t>SH0242</t>
  </si>
  <si>
    <t>SH0243</t>
  </si>
  <si>
    <t>SH0244</t>
  </si>
  <si>
    <t>SH0245</t>
  </si>
  <si>
    <t>SH0246</t>
  </si>
  <si>
    <t>SH0247</t>
  </si>
  <si>
    <t>SH0248</t>
  </si>
  <si>
    <t>SH0249</t>
  </si>
  <si>
    <t>SH0250</t>
  </si>
  <si>
    <t>Fuel_Cost</t>
  </si>
  <si>
    <t>Toll_Fees</t>
  </si>
  <si>
    <t>Labor_Cost</t>
  </si>
  <si>
    <t>Maintenance_Cost</t>
  </si>
  <si>
    <t>Other_Costs</t>
  </si>
  <si>
    <t>TOTAL FREIGHT COST</t>
  </si>
  <si>
    <t>FREIGHT COST VARIANCE</t>
  </si>
  <si>
    <t>AVG COST per KM</t>
  </si>
  <si>
    <t>TOTAL SHIPMENT</t>
  </si>
  <si>
    <t>DELAYED COUNT</t>
  </si>
  <si>
    <t>ON-TIME DELIVERY %</t>
  </si>
  <si>
    <t>DELAYED %</t>
  </si>
  <si>
    <t>FREIGHT COST BY CARRIER</t>
  </si>
  <si>
    <t>Row Labels</t>
  </si>
  <si>
    <t>Grand Total</t>
  </si>
  <si>
    <t>FREIGHT COST BY MODE</t>
  </si>
  <si>
    <t>Sum of Actual_Cost</t>
  </si>
  <si>
    <t>Sum of Planned_Cost</t>
  </si>
  <si>
    <t>FREIGHT COST VARIANCE BY CARRIER</t>
  </si>
  <si>
    <t>FREIGHT BY ORIGIN</t>
  </si>
  <si>
    <t>DAX MEASURES</t>
  </si>
  <si>
    <t>KPI</t>
  </si>
  <si>
    <t>Max of Distance_KM</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</si>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</sst>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0%"/>
    <numFmt numFmtId="166" formatCode="[&gt;=1000000]\₦0,,&quot;M&quot;;[&gt;=1000]\₦0,&quot;K&quot;;\₦0"/>
    <numFmt numFmtId="167" formatCode="0;[Red]0"/>
  </numFmts>
  <fonts count="4" x14ac:knownFonts="1">
    <font>
      <sz val="11"/>
      <color theme="1"/>
      <name val="Calibri"/>
      <family val="2"/>
      <scheme val="minor"/>
    </font>
    <font>
      <b/>
      <sz val="11"/>
      <name val="Calibri"/>
    </font>
    <font>
      <b/>
      <sz val="16"/>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1E2126"/>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2" borderId="0" xfId="0" applyFont="1" applyFill="1" applyAlignment="1">
      <alignment horizontal="center"/>
    </xf>
    <xf numFmtId="166" fontId="0" fillId="0" borderId="0" xfId="0" applyNumberFormat="1"/>
    <xf numFmtId="167" fontId="0" fillId="0" borderId="0" xfId="0" applyNumberFormat="1"/>
    <xf numFmtId="0" fontId="0" fillId="2" borderId="0" xfId="0" applyFill="1"/>
    <xf numFmtId="0" fontId="3" fillId="2" borderId="0" xfId="0" applyFont="1" applyFill="1" applyAlignment="1">
      <alignment horizontal="center"/>
    </xf>
    <xf numFmtId="0" fontId="0" fillId="2" borderId="0" xfId="0" applyFont="1" applyFill="1"/>
    <xf numFmtId="0" fontId="0" fillId="2" borderId="0" xfId="0" applyFill="1" applyAlignment="1">
      <alignment horizontal="left"/>
    </xf>
    <xf numFmtId="0" fontId="0" fillId="3" borderId="0" xfId="0" applyFill="1"/>
  </cellXfs>
  <cellStyles count="1">
    <cellStyle name="Normal" xfId="0" builtinId="0"/>
  </cellStyles>
  <dxfs count="9">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4"/>
        </bottom>
        <vertical/>
        <horizontal/>
      </border>
    </dxf>
    <dxf>
      <font>
        <color theme="1"/>
      </font>
      <fill>
        <patternFill>
          <bgColor rgb="FF111214"/>
        </patternFill>
      </fill>
      <border diagonalUp="0" diagonalDown="0">
        <left/>
        <right/>
        <top/>
        <bottom/>
        <vertical/>
        <horizontal/>
      </border>
    </dxf>
  </dxfs>
  <tableStyles count="1" defaultTableStyle="TableStyleMedium9" defaultPivotStyle="PivotStyleLight16">
    <tableStyle name="SlicerStyleDark1 2" pivot="0" table="0" count="10" xr9:uid="{140DF9D9-141E-46A5-A057-98CFAA59ADDC}">
      <tableStyleElement type="wholeTable" dxfId="8"/>
      <tableStyleElement type="headerRow" dxfId="7"/>
    </tableStyle>
  </tableStyles>
  <colors>
    <mruColors>
      <color rgb="FFE8E8E7"/>
      <color rgb="FFEF4444"/>
      <color rgb="FF111214"/>
      <color rgb="FF1B1C1F"/>
      <color rgb="FF363B44"/>
      <color rgb="FF1E2126"/>
      <color rgb="FFB9FA63"/>
      <color rgb="FF3E7649"/>
      <color rgb="FF0F4F3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0.34998626667073579"/>
          </font>
          <fill>
            <patternFill patternType="solid">
              <fgColor rgb="FFE8E8E7"/>
              <bgColor theme="0" tint="-4.9989318521683403E-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rgb="FF111214"/>
            <name val="Calibri"/>
            <family val="2"/>
            <scheme val="minor"/>
          </font>
          <fill>
            <patternFill patternType="solid">
              <fgColor theme="2"/>
              <bgColor them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Analysis!$I$20:$I$21</c:f>
              <c:strCache>
                <c:ptCount val="1"/>
                <c:pt idx="0">
                  <c:v>Abuja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Analysis!$I$22</c:f>
              <c:numCache>
                <c:formatCode>[&gt;=1000000]\₦0,,"M";[&gt;=1000]\₦0,"K";\₦0</c:formatCode>
                <c:ptCount val="1"/>
                <c:pt idx="0">
                  <c:v>11961011</c:v>
                </c:pt>
              </c:numCache>
            </c:numRef>
          </c:val>
          <c:extLst>
            <c:ext xmlns:c16="http://schemas.microsoft.com/office/drawing/2014/chart" uri="{C3380CC4-5D6E-409C-BE32-E72D297353CC}">
              <c16:uniqueId val="{00000000-4E8D-4EB6-BC8D-EFA75718E2F3}"/>
            </c:ext>
          </c:extLst>
        </c:ser>
        <c:ser>
          <c:idx val="1"/>
          <c:order val="1"/>
          <c:tx>
            <c:strRef>
              <c:f>Analysis!$J$20:$J$21</c:f>
              <c:strCache>
                <c:ptCount val="1"/>
                <c:pt idx="0">
                  <c:v>Accra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Analysis!$J$22</c:f>
              <c:numCache>
                <c:formatCode>[&gt;=1000000]\₦0,,"M";[&gt;=1000]\₦0,"K";\₦0</c:formatCode>
                <c:ptCount val="1"/>
                <c:pt idx="0">
                  <c:v>12708445</c:v>
                </c:pt>
              </c:numCache>
            </c:numRef>
          </c:val>
          <c:extLst>
            <c:ext xmlns:c16="http://schemas.microsoft.com/office/drawing/2014/chart" uri="{C3380CC4-5D6E-409C-BE32-E72D297353CC}">
              <c16:uniqueId val="{00000011-4E8D-4EB6-BC8D-EFA75718E2F3}"/>
            </c:ext>
          </c:extLst>
        </c:ser>
        <c:ser>
          <c:idx val="2"/>
          <c:order val="2"/>
          <c:tx>
            <c:strRef>
              <c:f>Analysis!$K$20:$K$21</c:f>
              <c:strCache>
                <c:ptCount val="1"/>
                <c:pt idx="0">
                  <c:v>Kumasi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Analysis!$K$22</c:f>
              <c:numCache>
                <c:formatCode>[&gt;=1000000]\₦0,,"M";[&gt;=1000]\₦0,"K";\₦0</c:formatCode>
                <c:ptCount val="1"/>
                <c:pt idx="0">
                  <c:v>10888605</c:v>
                </c:pt>
              </c:numCache>
            </c:numRef>
          </c:val>
          <c:extLst>
            <c:ext xmlns:c16="http://schemas.microsoft.com/office/drawing/2014/chart" uri="{C3380CC4-5D6E-409C-BE32-E72D297353CC}">
              <c16:uniqueId val="{00000012-4E8D-4EB6-BC8D-EFA75718E2F3}"/>
            </c:ext>
          </c:extLst>
        </c:ser>
        <c:ser>
          <c:idx val="3"/>
          <c:order val="3"/>
          <c:tx>
            <c:strRef>
              <c:f>Analysis!$L$20:$L$21</c:f>
              <c:strCache>
                <c:ptCount val="1"/>
                <c:pt idx="0">
                  <c:v>Lagos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Analysis!$L$22</c:f>
              <c:numCache>
                <c:formatCode>[&gt;=1000000]\₦0,,"M";[&gt;=1000]\₦0,"K";\₦0</c:formatCode>
                <c:ptCount val="1"/>
                <c:pt idx="0">
                  <c:v>14286345</c:v>
                </c:pt>
              </c:numCache>
            </c:numRef>
          </c:val>
          <c:extLst>
            <c:ext xmlns:c16="http://schemas.microsoft.com/office/drawing/2014/chart" uri="{C3380CC4-5D6E-409C-BE32-E72D297353CC}">
              <c16:uniqueId val="{00000013-4E8D-4EB6-BC8D-EFA75718E2F3}"/>
            </c:ext>
          </c:extLst>
        </c:ser>
        <c:ser>
          <c:idx val="4"/>
          <c:order val="4"/>
          <c:tx>
            <c:strRef>
              <c:f>Analysis!$M$20:$M$21</c:f>
              <c:strCache>
                <c:ptCount val="1"/>
                <c:pt idx="0">
                  <c:v>Mombasa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Analysis!$M$22</c:f>
              <c:numCache>
                <c:formatCode>[&gt;=1000000]\₦0,,"M";[&gt;=1000]\₦0,"K";\₦0</c:formatCode>
                <c:ptCount val="1"/>
                <c:pt idx="0">
                  <c:v>11103276</c:v>
                </c:pt>
              </c:numCache>
            </c:numRef>
          </c:val>
          <c:extLst>
            <c:ext xmlns:c16="http://schemas.microsoft.com/office/drawing/2014/chart" uri="{C3380CC4-5D6E-409C-BE32-E72D297353CC}">
              <c16:uniqueId val="{00000014-4E8D-4EB6-BC8D-EFA75718E2F3}"/>
            </c:ext>
          </c:extLst>
        </c:ser>
        <c:ser>
          <c:idx val="5"/>
          <c:order val="5"/>
          <c:tx>
            <c:strRef>
              <c:f>Analysis!$N$20:$N$21</c:f>
              <c:strCache>
                <c:ptCount val="1"/>
                <c:pt idx="0">
                  <c:v>Nairobi</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Analysis!$N$22</c:f>
              <c:numCache>
                <c:formatCode>[&gt;=1000000]\₦0,,"M";[&gt;=1000]\₦0,"K";\₦0</c:formatCode>
                <c:ptCount val="1"/>
                <c:pt idx="0">
                  <c:v>13553728</c:v>
                </c:pt>
              </c:numCache>
            </c:numRef>
          </c:val>
          <c:extLst>
            <c:ext xmlns:c16="http://schemas.microsoft.com/office/drawing/2014/chart" uri="{C3380CC4-5D6E-409C-BE32-E72D297353CC}">
              <c16:uniqueId val="{00000015-4E8D-4EB6-BC8D-EFA75718E2F3}"/>
            </c:ext>
          </c:extLst>
        </c:ser>
        <c:ser>
          <c:idx val="6"/>
          <c:order val="6"/>
          <c:tx>
            <c:strRef>
              <c:f>Analysis!$O$20:$O$21</c:f>
              <c:strCache>
                <c:ptCount val="1"/>
                <c:pt idx="0">
                  <c:v>Port Harcourt</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Analysis!$O$22</c:f>
              <c:numCache>
                <c:formatCode>[&gt;=1000000]\₦0,,"M";[&gt;=1000]\₦0,"K";\₦0</c:formatCode>
                <c:ptCount val="1"/>
                <c:pt idx="0">
                  <c:v>7251039</c:v>
                </c:pt>
              </c:numCache>
            </c:numRef>
          </c:val>
          <c:extLst>
            <c:ext xmlns:c16="http://schemas.microsoft.com/office/drawing/2014/chart" uri="{C3380CC4-5D6E-409C-BE32-E72D297353CC}">
              <c16:uniqueId val="{00000016-4E8D-4EB6-BC8D-EFA75718E2F3}"/>
            </c:ext>
          </c:extLst>
        </c:ser>
        <c:ser>
          <c:idx val="7"/>
          <c:order val="7"/>
          <c:tx>
            <c:strRef>
              <c:f>Analysis!$P$20:$P$21</c:f>
              <c:strCache>
                <c:ptCount val="1"/>
                <c:pt idx="0">
                  <c:v>Takoradi</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Analysis!$P$22</c:f>
              <c:numCache>
                <c:formatCode>[&gt;=1000000]\₦0,,"M";[&gt;=1000]\₦0,"K";\₦0</c:formatCode>
                <c:ptCount val="1"/>
                <c:pt idx="0">
                  <c:v>11318019</c:v>
                </c:pt>
              </c:numCache>
            </c:numRef>
          </c:val>
          <c:extLst>
            <c:ext xmlns:c16="http://schemas.microsoft.com/office/drawing/2014/chart" uri="{C3380CC4-5D6E-409C-BE32-E72D297353CC}">
              <c16:uniqueId val="{00000017-4E8D-4EB6-BC8D-EFA75718E2F3}"/>
            </c:ext>
          </c:extLst>
        </c:ser>
        <c:dLbls>
          <c:dLblPos val="ctr"/>
          <c:showLegendKey val="0"/>
          <c:showVal val="1"/>
          <c:showCatName val="0"/>
          <c:showSerName val="0"/>
          <c:showPercent val="0"/>
          <c:showBubbleSize val="0"/>
        </c:dLbls>
        <c:gapWidth val="150"/>
        <c:overlap val="100"/>
        <c:axId val="1344091823"/>
        <c:axId val="1344083919"/>
      </c:barChart>
      <c:catAx>
        <c:axId val="1344091823"/>
        <c:scaling>
          <c:orientation val="minMax"/>
        </c:scaling>
        <c:delete val="1"/>
        <c:axPos val="l"/>
        <c:numFmt formatCode="General" sourceLinked="1"/>
        <c:majorTickMark val="none"/>
        <c:minorTickMark val="none"/>
        <c:tickLblPos val="nextTo"/>
        <c:crossAx val="1344083919"/>
        <c:crosses val="autoZero"/>
        <c:auto val="1"/>
        <c:lblAlgn val="ctr"/>
        <c:lblOffset val="100"/>
        <c:noMultiLvlLbl val="0"/>
      </c:catAx>
      <c:valAx>
        <c:axId val="1344083919"/>
        <c:scaling>
          <c:orientation val="minMax"/>
        </c:scaling>
        <c:delete val="1"/>
        <c:axPos val="b"/>
        <c:numFmt formatCode="0%" sourceLinked="1"/>
        <c:majorTickMark val="none"/>
        <c:minorTickMark val="none"/>
        <c:tickLblPos val="nextTo"/>
        <c:crossAx val="13440918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[Freight_Cost_Analysis_Dataset.xlsx]Analysis!PivotTable8</c:name>
    <c:fmtId val="2"/>
  </c:pivotSource>
  <c:chart>
    <c:autoTitleDeleted val="0"/>
    <c:pivotFmts>
      <c:pivotFmt>
        <c:idx val="0"/>
        <c:spPr>
          <a:solidFill>
            <a:srgbClr val="0F4F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E8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7649"/>
          </a:solidFill>
          <a:ln>
            <a:noFill/>
          </a:ln>
          <a:effectLst/>
        </c:spPr>
      </c:pivotFmt>
      <c:pivotFmt>
        <c:idx val="3"/>
        <c:spPr>
          <a:solidFill>
            <a:srgbClr val="0F4F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E8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E7649"/>
          </a:solidFill>
          <a:ln>
            <a:noFill/>
          </a:ln>
          <a:effectLst/>
        </c:spPr>
      </c:pivotFmt>
      <c:pivotFmt>
        <c:idx val="6"/>
        <c:spPr>
          <a:solidFill>
            <a:srgbClr val="1112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s>
    <c:plotArea>
      <c:layout>
        <c:manualLayout>
          <c:layoutTarget val="inner"/>
          <c:xMode val="edge"/>
          <c:yMode val="edge"/>
          <c:x val="4.3493423860869941E-2"/>
          <c:y val="6.2916158926449139E-2"/>
          <c:w val="0.93888888888888888"/>
          <c:h val="0.89814814814814814"/>
        </c:manualLayout>
      </c:layout>
      <c:barChart>
        <c:barDir val="bar"/>
        <c:grouping val="percentStacked"/>
        <c:varyColors val="0"/>
        <c:ser>
          <c:idx val="0"/>
          <c:order val="0"/>
          <c:tx>
            <c:strRef>
              <c:f>Analysis!$E$36</c:f>
              <c:strCache>
                <c:ptCount val="1"/>
                <c:pt idx="0">
                  <c:v>TOTAL FREIGHT COST</c:v>
                </c:pt>
              </c:strCache>
            </c:strRef>
          </c:tx>
          <c:spPr>
            <a:solidFill>
              <a:srgbClr val="111214"/>
            </a:solidFill>
            <a:ln>
              <a:noFill/>
            </a:ln>
            <a:effectLst/>
          </c:spPr>
          <c:invertIfNegative val="0"/>
          <c:cat>
            <c:strRef>
              <c:f>Analysis!$E$37</c:f>
              <c:strCache>
                <c:ptCount val="1"/>
                <c:pt idx="0">
                  <c:v>Total</c:v>
                </c:pt>
              </c:strCache>
            </c:strRef>
          </c:cat>
          <c:val>
            <c:numRef>
              <c:f>Analysis!$E$37</c:f>
              <c:numCache>
                <c:formatCode>[&gt;=1000000]\₦0,,"M";[&gt;=1000]\₦0,"K";\₦0</c:formatCode>
                <c:ptCount val="1"/>
                <c:pt idx="0">
                  <c:v>93070468</c:v>
                </c:pt>
              </c:numCache>
            </c:numRef>
          </c:val>
          <c:extLst>
            <c:ext xmlns:c16="http://schemas.microsoft.com/office/drawing/2014/chart" uri="{C3380CC4-5D6E-409C-BE32-E72D297353CC}">
              <c16:uniqueId val="{00000000-815D-4E97-93FF-B519B522DD67}"/>
            </c:ext>
          </c:extLst>
        </c:ser>
        <c:ser>
          <c:idx val="1"/>
          <c:order val="1"/>
          <c:tx>
            <c:strRef>
              <c:f>Analysis!$F$36</c:f>
              <c:strCache>
                <c:ptCount val="1"/>
                <c:pt idx="0">
                  <c:v>FREIGHT COST VARIANCE</c:v>
                </c:pt>
              </c:strCache>
            </c:strRef>
          </c:tx>
          <c:spPr>
            <a:solidFill>
              <a:schemeClr val="bg1">
                <a:lumMod val="75000"/>
              </a:schemeClr>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2-815D-4E97-93FF-B519B522DD67}"/>
              </c:ext>
            </c:extLst>
          </c:dPt>
          <c:cat>
            <c:strRef>
              <c:f>Analysis!$E$37</c:f>
              <c:strCache>
                <c:ptCount val="1"/>
                <c:pt idx="0">
                  <c:v>Total</c:v>
                </c:pt>
              </c:strCache>
            </c:strRef>
          </c:cat>
          <c:val>
            <c:numRef>
              <c:f>Analysis!$F$37</c:f>
              <c:numCache>
                <c:formatCode>[&gt;=1000000]\₦0,,"M";[&gt;=1000]\₦0,"K";\₦0</c:formatCode>
                <c:ptCount val="1"/>
                <c:pt idx="0">
                  <c:v>3835428</c:v>
                </c:pt>
              </c:numCache>
            </c:numRef>
          </c:val>
          <c:extLst>
            <c:ext xmlns:c16="http://schemas.microsoft.com/office/drawing/2014/chart" uri="{C3380CC4-5D6E-409C-BE32-E72D297353CC}">
              <c16:uniqueId val="{00000003-815D-4E97-93FF-B519B522DD67}"/>
            </c:ext>
          </c:extLst>
        </c:ser>
        <c:dLbls>
          <c:showLegendKey val="0"/>
          <c:showVal val="0"/>
          <c:showCatName val="0"/>
          <c:showSerName val="0"/>
          <c:showPercent val="0"/>
          <c:showBubbleSize val="0"/>
        </c:dLbls>
        <c:gapWidth val="150"/>
        <c:overlap val="100"/>
        <c:axId val="1344083503"/>
        <c:axId val="1344081839"/>
      </c:barChart>
      <c:catAx>
        <c:axId val="1344083503"/>
        <c:scaling>
          <c:orientation val="minMax"/>
        </c:scaling>
        <c:delete val="1"/>
        <c:axPos val="l"/>
        <c:numFmt formatCode="General" sourceLinked="1"/>
        <c:majorTickMark val="none"/>
        <c:minorTickMark val="none"/>
        <c:tickLblPos val="nextTo"/>
        <c:crossAx val="1344081839"/>
        <c:crosses val="autoZero"/>
        <c:auto val="1"/>
        <c:lblAlgn val="ctr"/>
        <c:lblOffset val="100"/>
        <c:noMultiLvlLbl val="0"/>
      </c:catAx>
      <c:valAx>
        <c:axId val="1344081839"/>
        <c:scaling>
          <c:orientation val="minMax"/>
        </c:scaling>
        <c:delete val="1"/>
        <c:axPos val="b"/>
        <c:numFmt formatCode="0%" sourceLinked="1"/>
        <c:majorTickMark val="none"/>
        <c:minorTickMark val="none"/>
        <c:tickLblPos val="nextTo"/>
        <c:crossAx val="134408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8E8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52511178830255E-2"/>
          <c:y val="0.2223021399564625"/>
          <c:w val="0.89428447540657341"/>
          <c:h val="0.55539572008707494"/>
        </c:manualLayout>
      </c:layout>
      <c:barChart>
        <c:barDir val="bar"/>
        <c:grouping val="percentStacked"/>
        <c:varyColors val="0"/>
        <c:ser>
          <c:idx val="0"/>
          <c:order val="0"/>
          <c:tx>
            <c:strRef>
              <c:f>Analysis!$E$39</c:f>
              <c:strCache>
                <c:ptCount val="1"/>
                <c:pt idx="0">
                  <c:v>FREIGHT COST VARIANCE</c:v>
                </c:pt>
              </c:strCache>
            </c:strRef>
          </c:tx>
          <c:spPr>
            <a:solidFill>
              <a:schemeClr val="bg1">
                <a:lumMod val="65000"/>
              </a:schemeClr>
            </a:solidFill>
            <a:ln>
              <a:noFill/>
            </a:ln>
            <a:effectLst/>
          </c:spPr>
          <c:invertIfNegative val="0"/>
          <c:cat>
            <c:strRef>
              <c:f>Analysis!$E$40</c:f>
              <c:strCache>
                <c:ptCount val="1"/>
                <c:pt idx="0">
                  <c:v>Total</c:v>
                </c:pt>
              </c:strCache>
            </c:strRef>
          </c:cat>
          <c:val>
            <c:numRef>
              <c:f>Analysis!$E$40</c:f>
              <c:numCache>
                <c:formatCode>[&gt;=1000000]\₦0,,"M";[&gt;=1000]\₦0,"K";\₦0</c:formatCode>
                <c:ptCount val="1"/>
                <c:pt idx="0">
                  <c:v>3835428</c:v>
                </c:pt>
              </c:numCache>
            </c:numRef>
          </c:val>
          <c:extLst>
            <c:ext xmlns:c16="http://schemas.microsoft.com/office/drawing/2014/chart" uri="{C3380CC4-5D6E-409C-BE32-E72D297353CC}">
              <c16:uniqueId val="{00000000-2468-4DBB-8B90-177BE4AAAFEC}"/>
            </c:ext>
          </c:extLst>
        </c:ser>
        <c:ser>
          <c:idx val="1"/>
          <c:order val="1"/>
          <c:tx>
            <c:strRef>
              <c:f>Analysis!$F$39</c:f>
              <c:strCache>
                <c:ptCount val="1"/>
                <c:pt idx="0">
                  <c:v>TOTAL FREIGHT COST</c:v>
                </c:pt>
              </c:strCache>
            </c:strRef>
          </c:tx>
          <c:spPr>
            <a:solidFill>
              <a:srgbClr val="E8E8E7"/>
            </a:solidFill>
            <a:ln>
              <a:noFill/>
            </a:ln>
            <a:effectLst/>
          </c:spPr>
          <c:invertIfNegative val="0"/>
          <c:cat>
            <c:strRef>
              <c:f>Analysis!$E$40</c:f>
              <c:strCache>
                <c:ptCount val="1"/>
                <c:pt idx="0">
                  <c:v>Total</c:v>
                </c:pt>
              </c:strCache>
            </c:strRef>
          </c:cat>
          <c:val>
            <c:numRef>
              <c:f>Analysis!$F$40</c:f>
              <c:numCache>
                <c:formatCode>[&gt;=1000000]\₦0,,"M";[&gt;=1000]\₦0,"K";\₦0</c:formatCode>
                <c:ptCount val="1"/>
                <c:pt idx="0">
                  <c:v>93070468</c:v>
                </c:pt>
              </c:numCache>
            </c:numRef>
          </c:val>
          <c:extLst>
            <c:ext xmlns:c16="http://schemas.microsoft.com/office/drawing/2014/chart" uri="{C3380CC4-5D6E-409C-BE32-E72D297353CC}">
              <c16:uniqueId val="{00000001-2468-4DBB-8B90-177BE4AAAFEC}"/>
            </c:ext>
          </c:extLst>
        </c:ser>
        <c:dLbls>
          <c:showLegendKey val="0"/>
          <c:showVal val="0"/>
          <c:showCatName val="0"/>
          <c:showSerName val="0"/>
          <c:showPercent val="0"/>
          <c:showBubbleSize val="0"/>
        </c:dLbls>
        <c:gapWidth val="150"/>
        <c:overlap val="100"/>
        <c:axId val="1344072271"/>
        <c:axId val="1344090159"/>
      </c:barChart>
      <c:catAx>
        <c:axId val="1344072271"/>
        <c:scaling>
          <c:orientation val="minMax"/>
        </c:scaling>
        <c:delete val="1"/>
        <c:axPos val="l"/>
        <c:numFmt formatCode="General" sourceLinked="1"/>
        <c:majorTickMark val="none"/>
        <c:minorTickMark val="none"/>
        <c:tickLblPos val="nextTo"/>
        <c:crossAx val="1344090159"/>
        <c:crosses val="autoZero"/>
        <c:auto val="1"/>
        <c:lblAlgn val="ctr"/>
        <c:lblOffset val="100"/>
        <c:noMultiLvlLbl val="0"/>
      </c:catAx>
      <c:valAx>
        <c:axId val="1344090159"/>
        <c:scaling>
          <c:orientation val="minMax"/>
        </c:scaling>
        <c:delete val="1"/>
        <c:axPos val="b"/>
        <c:numFmt formatCode="0%" sourceLinked="1"/>
        <c:majorTickMark val="none"/>
        <c:minorTickMark val="none"/>
        <c:tickLblPos val="nextTo"/>
        <c:crossAx val="134407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E8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8E8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pivotFmt>
    </c:pivotFmts>
    <c:plotArea>
      <c:layout>
        <c:manualLayout>
          <c:layoutTarget val="inner"/>
          <c:xMode val="edge"/>
          <c:yMode val="edge"/>
          <c:x val="8.3769633507853412E-3"/>
          <c:y val="0.12393052114154578"/>
          <c:w val="0.9078534031413612"/>
          <c:h val="0.74362715276573454"/>
        </c:manualLayout>
      </c:layout>
      <c:barChart>
        <c:barDir val="bar"/>
        <c:grouping val="percentStacked"/>
        <c:varyColors val="0"/>
        <c:ser>
          <c:idx val="0"/>
          <c:order val="0"/>
          <c:tx>
            <c:strRef>
              <c:f>Analysis!$E$42</c:f>
              <c:strCache>
                <c:ptCount val="1"/>
                <c:pt idx="0">
                  <c:v>AVG COST per KM</c:v>
                </c:pt>
              </c:strCache>
            </c:strRef>
          </c:tx>
          <c:spPr>
            <a:solidFill>
              <a:srgbClr val="E8E8E7"/>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3-3900-4406-9CD9-ADA6661B6DCD}"/>
              </c:ext>
            </c:extLst>
          </c:dPt>
          <c:cat>
            <c:strRef>
              <c:f>Analysis!$E$43</c:f>
              <c:strCache>
                <c:ptCount val="1"/>
                <c:pt idx="0">
                  <c:v>Total</c:v>
                </c:pt>
              </c:strCache>
            </c:strRef>
          </c:cat>
          <c:val>
            <c:numRef>
              <c:f>Analysis!$E$43</c:f>
              <c:numCache>
                <c:formatCode>[&gt;=1000000]\₦0,,"M";[&gt;=1000]\₦0,"K";\₦0</c:formatCode>
                <c:ptCount val="1"/>
                <c:pt idx="0">
                  <c:v>595.4375903676123</c:v>
                </c:pt>
              </c:numCache>
            </c:numRef>
          </c:val>
          <c:extLst>
            <c:ext xmlns:c16="http://schemas.microsoft.com/office/drawing/2014/chart" uri="{C3380CC4-5D6E-409C-BE32-E72D297353CC}">
              <c16:uniqueId val="{00000000-3900-4406-9CD9-ADA6661B6DCD}"/>
            </c:ext>
          </c:extLst>
        </c:ser>
        <c:ser>
          <c:idx val="1"/>
          <c:order val="1"/>
          <c:tx>
            <c:strRef>
              <c:f>Analysis!$F$42</c:f>
              <c:strCache>
                <c:ptCount val="1"/>
                <c:pt idx="0">
                  <c:v>Max of Distance_KM</c:v>
                </c:pt>
              </c:strCache>
            </c:strRef>
          </c:tx>
          <c:spPr>
            <a:solidFill>
              <a:srgbClr val="E8E8E7"/>
            </a:solidFill>
            <a:ln>
              <a:noFill/>
            </a:ln>
            <a:effectLst/>
          </c:spPr>
          <c:invertIfNegative val="0"/>
          <c:cat>
            <c:strRef>
              <c:f>Analysis!$E$43</c:f>
              <c:strCache>
                <c:ptCount val="1"/>
                <c:pt idx="0">
                  <c:v>Total</c:v>
                </c:pt>
              </c:strCache>
            </c:strRef>
          </c:cat>
          <c:val>
            <c:numRef>
              <c:f>Analysis!$F$43</c:f>
              <c:numCache>
                <c:formatCode>General</c:formatCode>
                <c:ptCount val="1"/>
                <c:pt idx="0">
                  <c:v>1186</c:v>
                </c:pt>
              </c:numCache>
            </c:numRef>
          </c:val>
          <c:extLst>
            <c:ext xmlns:c16="http://schemas.microsoft.com/office/drawing/2014/chart" uri="{C3380CC4-5D6E-409C-BE32-E72D297353CC}">
              <c16:uniqueId val="{00000001-3900-4406-9CD9-ADA6661B6DCD}"/>
            </c:ext>
          </c:extLst>
        </c:ser>
        <c:dLbls>
          <c:showLegendKey val="0"/>
          <c:showVal val="0"/>
          <c:showCatName val="0"/>
          <c:showSerName val="0"/>
          <c:showPercent val="0"/>
          <c:showBubbleSize val="0"/>
        </c:dLbls>
        <c:gapWidth val="150"/>
        <c:overlap val="100"/>
        <c:axId val="1344071855"/>
        <c:axId val="1344073103"/>
      </c:barChart>
      <c:catAx>
        <c:axId val="1344071855"/>
        <c:scaling>
          <c:orientation val="minMax"/>
        </c:scaling>
        <c:delete val="1"/>
        <c:axPos val="l"/>
        <c:numFmt formatCode="General" sourceLinked="1"/>
        <c:majorTickMark val="none"/>
        <c:minorTickMark val="none"/>
        <c:tickLblPos val="nextTo"/>
        <c:crossAx val="1344073103"/>
        <c:crosses val="autoZero"/>
        <c:auto val="1"/>
        <c:lblAlgn val="ctr"/>
        <c:lblOffset val="100"/>
        <c:noMultiLvlLbl val="0"/>
      </c:catAx>
      <c:valAx>
        <c:axId val="1344073103"/>
        <c:scaling>
          <c:orientation val="minMax"/>
        </c:scaling>
        <c:delete val="1"/>
        <c:axPos val="b"/>
        <c:numFmt formatCode="0%" sourceLinked="1"/>
        <c:majorTickMark val="none"/>
        <c:minorTickMark val="none"/>
        <c:tickLblPos val="nextTo"/>
        <c:crossAx val="1344071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[Freight_Cost_Analysis_Dataset.xlsx]Analysis!PivotTable11</c:name>
    <c:fmtId val="2"/>
  </c:pivotSource>
  <c:chart>
    <c:autoTitleDeleted val="0"/>
    <c:pivotFmts>
      <c:pivotFmt>
        <c:idx val="0"/>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19050">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19050">
            <a:noFill/>
          </a:ln>
          <a:effectLst/>
        </c:spPr>
        <c:dLbl>
          <c:idx val="0"/>
          <c:layout>
            <c:manualLayout>
              <c:x val="0"/>
              <c:y val="-0.35175288816893119"/>
            </c:manualLayout>
          </c:layout>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w="19050">
            <a:noFill/>
          </a:ln>
          <a:effectLst/>
        </c:spPr>
        <c:dLbl>
          <c:idx val="0"/>
          <c:layout>
            <c:manualLayout>
              <c:x val="0"/>
              <c:y val="-0.28520504446129558"/>
            </c:manualLayout>
          </c:layout>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w="19050">
            <a:noFill/>
          </a:ln>
          <a:effectLst/>
        </c:spPr>
        <c:dLbl>
          <c:idx val="0"/>
          <c:layout>
            <c:manualLayout>
              <c:x val="0"/>
              <c:y val="-0.28520504446129558"/>
            </c:manualLayout>
          </c:layout>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19050">
            <a:noFill/>
          </a:ln>
          <a:effectLst/>
        </c:spPr>
      </c:pivotFmt>
      <c:pivotFmt>
        <c:idx val="8"/>
        <c:spPr>
          <a:solidFill>
            <a:srgbClr val="EF4444"/>
          </a:solidFill>
          <a:ln w="19050">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EF444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F4444"/>
          </a:solidFill>
          <a:ln w="19050">
            <a:noFill/>
          </a:ln>
          <a:effectLst/>
        </c:spPr>
        <c:dLbl>
          <c:idx val="0"/>
          <c:layout>
            <c:manualLayout>
              <c:x val="0"/>
              <c:y val="-0.28520504446129558"/>
            </c:manualLayout>
          </c:layout>
          <c:spPr>
            <a:noFill/>
            <a:ln>
              <a:noFill/>
            </a:ln>
            <a:effectLst/>
          </c:spPr>
          <c:txPr>
            <a:bodyPr rot="0" spcFirstLastPara="1" vertOverflow="ellipsis" vert="horz" wrap="square" anchor="ctr" anchorCtr="1"/>
            <a:lstStyle/>
            <a:p>
              <a:pPr>
                <a:defRPr sz="1000" b="0" i="0" u="none" strike="noStrike" kern="1200" baseline="0">
                  <a:solidFill>
                    <a:srgbClr val="EF444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19050">
            <a:noFill/>
          </a:ln>
          <a:effectLst/>
        </c:spPr>
        <c:marker>
          <c:symbol val="none"/>
        </c:marker>
      </c:pivotFmt>
      <c:pivotFmt>
        <c:idx val="11"/>
        <c:spPr>
          <a:noFill/>
          <a:ln w="19050">
            <a:noFill/>
          </a:ln>
          <a:effectLst/>
        </c:spPr>
      </c:pivotFmt>
    </c:pivotFmts>
    <c:plotArea>
      <c:layout/>
      <c:doughnutChart>
        <c:varyColors val="1"/>
        <c:ser>
          <c:idx val="0"/>
          <c:order val="0"/>
          <c:tx>
            <c:strRef>
              <c:f>Analysis!$E$45</c:f>
              <c:strCache>
                <c:ptCount val="1"/>
                <c:pt idx="0">
                  <c:v>ON-TIME DELIVERY %</c:v>
                </c:pt>
              </c:strCache>
            </c:strRef>
          </c:tx>
          <c:spPr>
            <a:solidFill>
              <a:srgbClr val="EF4444"/>
            </a:solidFill>
            <a:ln>
              <a:noFill/>
            </a:ln>
          </c:spPr>
          <c:dPt>
            <c:idx val="0"/>
            <c:bubble3D val="0"/>
            <c:spPr>
              <a:solidFill>
                <a:srgbClr val="EF4444"/>
              </a:solidFill>
              <a:ln w="19050">
                <a:noFill/>
              </a:ln>
              <a:effectLst/>
            </c:spPr>
            <c:extLst>
              <c:ext xmlns:c16="http://schemas.microsoft.com/office/drawing/2014/chart" uri="{C3380CC4-5D6E-409C-BE32-E72D297353CC}">
                <c16:uniqueId val="{00000001-8008-491E-9222-60AEB181D37E}"/>
              </c:ext>
            </c:extLst>
          </c:dPt>
          <c:dLbls>
            <c:dLbl>
              <c:idx val="0"/>
              <c:layout>
                <c:manualLayout>
                  <c:x val="0"/>
                  <c:y val="-0.28520504446129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08-491E-9222-60AEB181D37E}"/>
                </c:ext>
              </c:extLst>
            </c:dLbl>
            <c:spPr>
              <a:noFill/>
              <a:ln>
                <a:noFill/>
              </a:ln>
              <a:effectLst/>
            </c:spPr>
            <c:txPr>
              <a:bodyPr rot="0" spcFirstLastPara="1" vertOverflow="ellipsis" vert="horz" wrap="square" anchor="ctr" anchorCtr="1"/>
              <a:lstStyle/>
              <a:p>
                <a:pPr>
                  <a:defRPr sz="1000" b="0" i="0" u="none" strike="noStrike" kern="1200" baseline="0">
                    <a:solidFill>
                      <a:srgbClr val="EF44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Analysis!$E$46</c:f>
              <c:strCache>
                <c:ptCount val="1"/>
                <c:pt idx="0">
                  <c:v>Total</c:v>
                </c:pt>
              </c:strCache>
            </c:strRef>
          </c:cat>
          <c:val>
            <c:numRef>
              <c:f>Analysis!$E$46</c:f>
              <c:numCache>
                <c:formatCode>0%;\-0%;0%</c:formatCode>
                <c:ptCount val="1"/>
                <c:pt idx="0">
                  <c:v>0.40400000000000003</c:v>
                </c:pt>
              </c:numCache>
            </c:numRef>
          </c:val>
          <c:extLst>
            <c:ext xmlns:c16="http://schemas.microsoft.com/office/drawing/2014/chart" uri="{C3380CC4-5D6E-409C-BE32-E72D297353CC}">
              <c16:uniqueId val="{00000002-8008-491E-9222-60AEB181D37E}"/>
            </c:ext>
          </c:extLst>
        </c:ser>
        <c:ser>
          <c:idx val="1"/>
          <c:order val="1"/>
          <c:tx>
            <c:strRef>
              <c:f>Analysis!$F$45</c:f>
              <c:strCache>
                <c:ptCount val="1"/>
                <c:pt idx="0">
                  <c:v>DELAYED %</c:v>
                </c:pt>
              </c:strCache>
            </c:strRef>
          </c:tx>
          <c:spPr>
            <a:noFill/>
            <a:ln>
              <a:noFill/>
            </a:ln>
          </c:spPr>
          <c:dPt>
            <c:idx val="0"/>
            <c:bubble3D val="0"/>
            <c:spPr>
              <a:noFill/>
              <a:ln w="19050">
                <a:noFill/>
              </a:ln>
              <a:effectLst/>
            </c:spPr>
            <c:extLst>
              <c:ext xmlns:c16="http://schemas.microsoft.com/office/drawing/2014/chart" uri="{C3380CC4-5D6E-409C-BE32-E72D297353CC}">
                <c16:uniqueId val="{00000004-8008-491E-9222-60AEB181D37E}"/>
              </c:ext>
            </c:extLst>
          </c:dPt>
          <c:dLbls>
            <c:delete val="1"/>
          </c:dLbls>
          <c:cat>
            <c:strRef>
              <c:f>Analysis!$E$46</c:f>
              <c:strCache>
                <c:ptCount val="1"/>
                <c:pt idx="0">
                  <c:v>Total</c:v>
                </c:pt>
              </c:strCache>
            </c:strRef>
          </c:cat>
          <c:val>
            <c:numRef>
              <c:f>Analysis!$F$46</c:f>
              <c:numCache>
                <c:formatCode>0%;\-0%;0%</c:formatCode>
                <c:ptCount val="1"/>
                <c:pt idx="0">
                  <c:v>0.59599999999999997</c:v>
                </c:pt>
              </c:numCache>
            </c:numRef>
          </c:val>
          <c:extLst>
            <c:ext xmlns:c16="http://schemas.microsoft.com/office/drawing/2014/chart" uri="{C3380CC4-5D6E-409C-BE32-E72D297353CC}">
              <c16:uniqueId val="{00000005-8008-491E-9222-60AEB181D37E}"/>
            </c:ext>
          </c:extLst>
        </c:ser>
        <c:dLbls>
          <c:showLegendKey val="0"/>
          <c:showVal val="1"/>
          <c:showCatName val="0"/>
          <c:showSerName val="0"/>
          <c:showPercent val="0"/>
          <c:showBubbleSize val="0"/>
          <c:showLeaderLines val="0"/>
        </c:dLbls>
        <c:firstSliceAng val="0"/>
        <c:holeSize val="8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E8E7"/>
          </a:solidFill>
          <a:ln>
            <a:noFill/>
          </a:ln>
          <a:effectLst/>
          <a:sp3d/>
        </c:spP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8E8E7"/>
          </a:solidFill>
          <a:ln>
            <a:noFill/>
          </a:ln>
          <a:effectLst/>
          <a:sp3d/>
        </c:spPr>
      </c:pivotFmt>
      <c:pivotFmt>
        <c:idx val="4"/>
        <c:spPr>
          <a:solidFill>
            <a:srgbClr val="E8E8E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a:sp3d/>
        </c:spPr>
        <c:dLbl>
          <c:idx val="0"/>
          <c:layout>
            <c:manualLayout>
              <c:x val="3.3333333333333437E-2"/>
              <c:y val="-4.7285127464955048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8E8E7"/>
          </a:solidFill>
          <a:ln>
            <a:noFill/>
          </a:ln>
          <a:effectLst/>
          <a:sp3d/>
        </c:spPr>
        <c:dLbl>
          <c:idx val="0"/>
          <c:layout>
            <c:manualLayout>
              <c:x val="5.5555555555555455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E8E7"/>
          </a:solidFill>
          <a:ln>
            <a:noFill/>
          </a:ln>
          <a:effectLst/>
          <a:sp3d/>
        </c:spPr>
        <c:dLbl>
          <c:idx val="0"/>
          <c:layout>
            <c:manualLayout>
              <c:x val="4.4444444444444543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8E8E7"/>
          </a:solidFill>
          <a:ln>
            <a:noFill/>
          </a:ln>
          <a:effectLst/>
          <a:sp3d/>
        </c:spPr>
        <c:dLbl>
          <c:idx val="0"/>
          <c:layout>
            <c:manualLayout>
              <c:x val="6.9444444444444448E-2"/>
              <c:y val="5.158437131649001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a:noFill/>
          </a:ln>
          <a:effectLst/>
          <a:sp3d/>
        </c:spPr>
        <c:dLbl>
          <c:idx val="0"/>
          <c:layout>
            <c:manualLayout>
              <c:x val="4.1666666666666664E-2"/>
              <c:y val="5.158437131649001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8E8E7"/>
          </a:solidFill>
          <a:ln>
            <a:noFill/>
          </a:ln>
          <a:effectLst/>
          <a:sp3d/>
        </c:spPr>
        <c:dLbl>
          <c:idx val="0"/>
          <c:layout>
            <c:manualLayout>
              <c:x val="9.4444444444444553E-2"/>
              <c:y val="5.1584371316489071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Analysis!$B$9</c:f>
              <c:strCache>
                <c:ptCount val="1"/>
                <c:pt idx="0">
                  <c:v>Total</c:v>
                </c:pt>
              </c:strCache>
            </c:strRef>
          </c:tx>
          <c:spPr>
            <a:solidFill>
              <a:srgbClr val="E8E8E7"/>
            </a:solidFill>
            <a:ln>
              <a:noFill/>
            </a:ln>
            <a:effectLst/>
            <a:sp3d/>
          </c:spPr>
          <c:invertIfNegative val="0"/>
          <c:dPt>
            <c:idx val="0"/>
            <c:invertIfNegative val="0"/>
            <c:bubble3D val="0"/>
            <c:extLst>
              <c:ext xmlns:c16="http://schemas.microsoft.com/office/drawing/2014/chart" uri="{C3380CC4-5D6E-409C-BE32-E72D297353CC}">
                <c16:uniqueId val="{00000008-7D90-4A93-96C4-BCF052E9546C}"/>
              </c:ext>
            </c:extLst>
          </c:dPt>
          <c:dPt>
            <c:idx val="1"/>
            <c:invertIfNegative val="0"/>
            <c:bubble3D val="0"/>
            <c:spPr>
              <a:solidFill>
                <a:schemeClr val="bg1">
                  <a:lumMod val="65000"/>
                </a:schemeClr>
              </a:solidFill>
              <a:ln>
                <a:noFill/>
              </a:ln>
              <a:effectLst/>
              <a:sp3d/>
            </c:spPr>
            <c:extLst>
              <c:ext xmlns:c16="http://schemas.microsoft.com/office/drawing/2014/chart" uri="{C3380CC4-5D6E-409C-BE32-E72D297353CC}">
                <c16:uniqueId val="{00000007-7D90-4A93-96C4-BCF052E9546C}"/>
              </c:ext>
            </c:extLst>
          </c:dPt>
          <c:dPt>
            <c:idx val="2"/>
            <c:invertIfNegative val="0"/>
            <c:bubble3D val="0"/>
            <c:extLst>
              <c:ext xmlns:c16="http://schemas.microsoft.com/office/drawing/2014/chart" uri="{C3380CC4-5D6E-409C-BE32-E72D297353CC}">
                <c16:uniqueId val="{00000006-7D90-4A93-96C4-BCF052E9546C}"/>
              </c:ext>
            </c:extLst>
          </c:dPt>
          <c:dPt>
            <c:idx val="3"/>
            <c:invertIfNegative val="0"/>
            <c:bubble3D val="0"/>
            <c:spPr>
              <a:solidFill>
                <a:schemeClr val="bg1">
                  <a:lumMod val="65000"/>
                </a:schemeClr>
              </a:solidFill>
              <a:ln>
                <a:noFill/>
              </a:ln>
              <a:effectLst/>
              <a:sp3d/>
            </c:spPr>
            <c:extLst>
              <c:ext xmlns:c16="http://schemas.microsoft.com/office/drawing/2014/chart" uri="{C3380CC4-5D6E-409C-BE32-E72D297353CC}">
                <c16:uniqueId val="{00000001-7D90-4A93-96C4-BCF052E9546C}"/>
              </c:ext>
            </c:extLst>
          </c:dPt>
          <c:dPt>
            <c:idx val="4"/>
            <c:invertIfNegative val="0"/>
            <c:bubble3D val="0"/>
            <c:extLst>
              <c:ext xmlns:c16="http://schemas.microsoft.com/office/drawing/2014/chart" uri="{C3380CC4-5D6E-409C-BE32-E72D297353CC}">
                <c16:uniqueId val="{00000005-7D90-4A93-96C4-BCF052E9546C}"/>
              </c:ext>
            </c:extLst>
          </c:dPt>
          <c:dPt>
            <c:idx val="5"/>
            <c:invertIfNegative val="0"/>
            <c:bubble3D val="0"/>
            <c:extLst>
              <c:ext xmlns:c16="http://schemas.microsoft.com/office/drawing/2014/chart" uri="{C3380CC4-5D6E-409C-BE32-E72D297353CC}">
                <c16:uniqueId val="{00000004-7D90-4A93-96C4-BCF052E9546C}"/>
              </c:ext>
            </c:extLst>
          </c:dPt>
          <c:dLbls>
            <c:dLbl>
              <c:idx val="0"/>
              <c:layout>
                <c:manualLayout>
                  <c:x val="9.4444444444444553E-2"/>
                  <c:y val="5.15843713164890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D90-4A93-96C4-BCF052E9546C}"/>
                </c:ext>
              </c:extLst>
            </c:dLbl>
            <c:dLbl>
              <c:idx val="1"/>
              <c:layout>
                <c:manualLayout>
                  <c:x val="4.1666666666666664E-2"/>
                  <c:y val="5.158437131649001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90-4A93-96C4-BCF052E9546C}"/>
                </c:ext>
              </c:extLst>
            </c:dLbl>
            <c:dLbl>
              <c:idx val="2"/>
              <c:layout>
                <c:manualLayout>
                  <c:x val="6.9444444444444448E-2"/>
                  <c:y val="5.15843713164900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D90-4A93-96C4-BCF052E9546C}"/>
                </c:ext>
              </c:extLst>
            </c:dLbl>
            <c:dLbl>
              <c:idx val="3"/>
              <c:layout>
                <c:manualLayout>
                  <c:x val="3.3333333333333437E-2"/>
                  <c:y val="-4.7285127464955048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0-4A93-96C4-BCF052E9546C}"/>
                </c:ext>
              </c:extLst>
            </c:dLbl>
            <c:dLbl>
              <c:idx val="4"/>
              <c:layout>
                <c:manualLayout>
                  <c:x val="4.444444444444454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90-4A93-96C4-BCF052E9546C}"/>
                </c:ext>
              </c:extLst>
            </c:dLbl>
            <c:dLbl>
              <c:idx val="5"/>
              <c:layout>
                <c:manualLayout>
                  <c:x val="5.555555555555545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90-4A93-96C4-BCF052E9546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Analysis!$A$10:$A$16</c:f>
              <c:strCache>
                <c:ptCount val="6"/>
                <c:pt idx="0">
                  <c:v>Aramex</c:v>
                </c:pt>
                <c:pt idx="1">
                  <c:v>DHL</c:v>
                </c:pt>
                <c:pt idx="2">
                  <c:v>FedEx</c:v>
                </c:pt>
                <c:pt idx="3">
                  <c:v>GIG Logistics</c:v>
                </c:pt>
                <c:pt idx="4">
                  <c:v>TransLink</c:v>
                </c:pt>
                <c:pt idx="5">
                  <c:v>UPS</c:v>
                </c:pt>
              </c:strCache>
            </c:strRef>
          </c:cat>
          <c:val>
            <c:numRef>
              <c:f>Analysis!$B$10:$B$16</c:f>
              <c:numCache>
                <c:formatCode>[&gt;=1000000]\₦0,,"M";[&gt;=1000]\₦0,"K";\₦0</c:formatCode>
                <c:ptCount val="6"/>
                <c:pt idx="0">
                  <c:v>14562579</c:v>
                </c:pt>
                <c:pt idx="1">
                  <c:v>16564934</c:v>
                </c:pt>
                <c:pt idx="2">
                  <c:v>16069370</c:v>
                </c:pt>
                <c:pt idx="3">
                  <c:v>16830147</c:v>
                </c:pt>
                <c:pt idx="4">
                  <c:v>15052149</c:v>
                </c:pt>
                <c:pt idx="5">
                  <c:v>13991289</c:v>
                </c:pt>
              </c:numCache>
            </c:numRef>
          </c:val>
          <c:extLst>
            <c:ext xmlns:c16="http://schemas.microsoft.com/office/drawing/2014/chart" uri="{C3380CC4-5D6E-409C-BE32-E72D297353CC}">
              <c16:uniqueId val="{00000002-7D90-4A93-96C4-BCF052E9546C}"/>
            </c:ext>
          </c:extLst>
        </c:ser>
        <c:dLbls>
          <c:showLegendKey val="0"/>
          <c:showVal val="1"/>
          <c:showCatName val="0"/>
          <c:showSerName val="0"/>
          <c:showPercent val="0"/>
          <c:showBubbleSize val="0"/>
        </c:dLbls>
        <c:gapWidth val="150"/>
        <c:shape val="box"/>
        <c:axId val="1545382559"/>
        <c:axId val="1545395455"/>
        <c:axId val="0"/>
      </c:bar3DChart>
      <c:catAx>
        <c:axId val="1545382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crossAx val="1545395455"/>
        <c:crosses val="autoZero"/>
        <c:auto val="1"/>
        <c:lblAlgn val="ctr"/>
        <c:lblOffset val="100"/>
        <c:noMultiLvlLbl val="0"/>
      </c:catAx>
      <c:valAx>
        <c:axId val="1545395455"/>
        <c:scaling>
          <c:orientation val="minMax"/>
        </c:scaling>
        <c:delete val="1"/>
        <c:axPos val="b"/>
        <c:numFmt formatCode="[&gt;=1000000]\₦0,,&quot;M&quot;;[&gt;=1000]\₦0,&quot;K&quot;;\₦0" sourceLinked="1"/>
        <c:majorTickMark val="none"/>
        <c:minorTickMark val="none"/>
        <c:tickLblPos val="nextTo"/>
        <c:crossAx val="154538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E8E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464119819162209E-2"/>
          <c:y val="0.15184030074365176"/>
          <c:w val="0.70738157517825062"/>
          <c:h val="0.6060717613490979"/>
        </c:manualLayout>
      </c:layout>
      <c:bar3DChart>
        <c:barDir val="col"/>
        <c:grouping val="clustered"/>
        <c:varyColors val="0"/>
        <c:ser>
          <c:idx val="0"/>
          <c:order val="0"/>
          <c:tx>
            <c:strRef>
              <c:f>Analysis!$I$8</c:f>
              <c:strCache>
                <c:ptCount val="1"/>
                <c:pt idx="0">
                  <c:v>Sum of Actual_Cost</c:v>
                </c:pt>
              </c:strCache>
            </c:strRef>
          </c:tx>
          <c:spPr>
            <a:solidFill>
              <a:srgbClr val="E8E8E7"/>
            </a:solidFill>
            <a:ln>
              <a:noFill/>
            </a:ln>
            <a:effectLst/>
            <a:sp3d/>
          </c:spPr>
          <c:invertIfNegative val="0"/>
          <c:cat>
            <c:strRef>
              <c:f>Analysis!$H$9:$H$17</c:f>
              <c:strCache>
                <c:ptCount val="8"/>
                <c:pt idx="0">
                  <c:v>Abuja</c:v>
                </c:pt>
                <c:pt idx="1">
                  <c:v>Accra</c:v>
                </c:pt>
                <c:pt idx="2">
                  <c:v>Kumasi</c:v>
                </c:pt>
                <c:pt idx="3">
                  <c:v>Lagos</c:v>
                </c:pt>
                <c:pt idx="4">
                  <c:v>Mombasa</c:v>
                </c:pt>
                <c:pt idx="5">
                  <c:v>Nairobi</c:v>
                </c:pt>
                <c:pt idx="6">
                  <c:v>Port Harcourt</c:v>
                </c:pt>
                <c:pt idx="7">
                  <c:v>Takoradi</c:v>
                </c:pt>
              </c:strCache>
            </c:strRef>
          </c:cat>
          <c:val>
            <c:numRef>
              <c:f>Analysis!$I$9:$I$17</c:f>
              <c:numCache>
                <c:formatCode>[&gt;=1000000]\₦0,,"M";[&gt;=1000]\₦0,"K";\₦0</c:formatCode>
                <c:ptCount val="8"/>
                <c:pt idx="0">
                  <c:v>15021265</c:v>
                </c:pt>
                <c:pt idx="1">
                  <c:v>11806632</c:v>
                </c:pt>
                <c:pt idx="2">
                  <c:v>10388427</c:v>
                </c:pt>
                <c:pt idx="3">
                  <c:v>9310038</c:v>
                </c:pt>
                <c:pt idx="4">
                  <c:v>14513190</c:v>
                </c:pt>
                <c:pt idx="5">
                  <c:v>10360106</c:v>
                </c:pt>
                <c:pt idx="6">
                  <c:v>10335129</c:v>
                </c:pt>
                <c:pt idx="7">
                  <c:v>11335681</c:v>
                </c:pt>
              </c:numCache>
            </c:numRef>
          </c:val>
          <c:extLst>
            <c:ext xmlns:c16="http://schemas.microsoft.com/office/drawing/2014/chart" uri="{C3380CC4-5D6E-409C-BE32-E72D297353CC}">
              <c16:uniqueId val="{00000000-0867-412D-A3A8-03819BF7B97B}"/>
            </c:ext>
          </c:extLst>
        </c:ser>
        <c:ser>
          <c:idx val="1"/>
          <c:order val="1"/>
          <c:tx>
            <c:strRef>
              <c:f>Analysis!$J$8</c:f>
              <c:strCache>
                <c:ptCount val="1"/>
                <c:pt idx="0">
                  <c:v>Sum of Planned_Cost</c:v>
                </c:pt>
              </c:strCache>
            </c:strRef>
          </c:tx>
          <c:spPr>
            <a:solidFill>
              <a:schemeClr val="bg1">
                <a:lumMod val="65000"/>
              </a:schemeClr>
            </a:solidFill>
            <a:ln>
              <a:noFill/>
            </a:ln>
            <a:effectLst/>
            <a:sp3d/>
          </c:spPr>
          <c:invertIfNegative val="0"/>
          <c:cat>
            <c:strRef>
              <c:f>Analysis!$H$9:$H$17</c:f>
              <c:strCache>
                <c:ptCount val="8"/>
                <c:pt idx="0">
                  <c:v>Abuja</c:v>
                </c:pt>
                <c:pt idx="1">
                  <c:v>Accra</c:v>
                </c:pt>
                <c:pt idx="2">
                  <c:v>Kumasi</c:v>
                </c:pt>
                <c:pt idx="3">
                  <c:v>Lagos</c:v>
                </c:pt>
                <c:pt idx="4">
                  <c:v>Mombasa</c:v>
                </c:pt>
                <c:pt idx="5">
                  <c:v>Nairobi</c:v>
                </c:pt>
                <c:pt idx="6">
                  <c:v>Port Harcourt</c:v>
                </c:pt>
                <c:pt idx="7">
                  <c:v>Takoradi</c:v>
                </c:pt>
              </c:strCache>
            </c:strRef>
          </c:cat>
          <c:val>
            <c:numRef>
              <c:f>Analysis!$J$9:$J$17</c:f>
              <c:numCache>
                <c:formatCode>[&gt;=1000000]\₦0,,"M";[&gt;=1000]\₦0,"K";\₦0</c:formatCode>
                <c:ptCount val="8"/>
                <c:pt idx="0">
                  <c:v>14570267</c:v>
                </c:pt>
                <c:pt idx="1">
                  <c:v>11465286</c:v>
                </c:pt>
                <c:pt idx="2">
                  <c:v>10089003</c:v>
                </c:pt>
                <c:pt idx="3">
                  <c:v>8609392</c:v>
                </c:pt>
                <c:pt idx="4">
                  <c:v>14053005</c:v>
                </c:pt>
                <c:pt idx="5">
                  <c:v>9580459</c:v>
                </c:pt>
                <c:pt idx="6">
                  <c:v>9981290</c:v>
                </c:pt>
                <c:pt idx="7">
                  <c:v>10886338</c:v>
                </c:pt>
              </c:numCache>
            </c:numRef>
          </c:val>
          <c:extLst>
            <c:ext xmlns:c16="http://schemas.microsoft.com/office/drawing/2014/chart" uri="{C3380CC4-5D6E-409C-BE32-E72D297353CC}">
              <c16:uniqueId val="{00000001-0867-412D-A3A8-03819BF7B97B}"/>
            </c:ext>
          </c:extLst>
        </c:ser>
        <c:dLbls>
          <c:showLegendKey val="0"/>
          <c:showVal val="0"/>
          <c:showCatName val="0"/>
          <c:showSerName val="0"/>
          <c:showPercent val="0"/>
          <c:showBubbleSize val="0"/>
        </c:dLbls>
        <c:gapWidth val="146"/>
        <c:gapDepth val="144"/>
        <c:shape val="box"/>
        <c:axId val="1558453247"/>
        <c:axId val="1558471551"/>
        <c:axId val="0"/>
      </c:bar3DChart>
      <c:catAx>
        <c:axId val="155845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crossAx val="1558471551"/>
        <c:crosses val="autoZero"/>
        <c:auto val="1"/>
        <c:lblAlgn val="ctr"/>
        <c:lblOffset val="100"/>
        <c:noMultiLvlLbl val="0"/>
      </c:catAx>
      <c:valAx>
        <c:axId val="1558471551"/>
        <c:scaling>
          <c:orientation val="minMax"/>
        </c:scaling>
        <c:delete val="0"/>
        <c:axPos val="l"/>
        <c:majorGridlines>
          <c:spPr>
            <a:ln w="9525" cap="flat" cmpd="sng" algn="ctr">
              <a:no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crossAx val="1558453247"/>
        <c:crosses val="autoZero"/>
        <c:crossBetween val="between"/>
      </c:valAx>
      <c:spPr>
        <a:noFill/>
        <a:ln>
          <a:noFill/>
        </a:ln>
        <a:effectLst/>
      </c:spPr>
    </c:plotArea>
    <c:legend>
      <c:legendPos val="r"/>
      <c:layout>
        <c:manualLayout>
          <c:xMode val="edge"/>
          <c:yMode val="edge"/>
          <c:x val="0.81396693996687219"/>
          <c:y val="0.52120316772155462"/>
          <c:w val="0.17296978337247176"/>
          <c:h val="0.33172189387388895"/>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[Freight_Cost_Analysis_Dataset.xlsx]Analysis!PivotTable3</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8E8E7"/>
          </a:solidFill>
          <a:ln w="25400">
            <a:noFill/>
          </a:ln>
          <a:effectLst/>
          <a:sp3d/>
        </c:spPr>
        <c:dLbl>
          <c:idx val="0"/>
          <c:layout>
            <c:manualLayout>
              <c:x val="3.6436949936286572E-2"/>
              <c:y val="-0.1917807115920114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F4444"/>
          </a:solidFill>
          <a:ln w="25400">
            <a:noFill/>
          </a:ln>
          <a:effectLst/>
          <a:sp3d/>
        </c:spPr>
        <c:dLbl>
          <c:idx val="0"/>
          <c:layout>
            <c:manualLayout>
              <c:x val="-1.8218474968143286E-2"/>
              <c:y val="2.5168072384473131E-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34025594395677"/>
                  <c:h val="0.18091313793513078"/>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Analysis!$B$21</c:f>
              <c:strCache>
                <c:ptCount val="1"/>
                <c:pt idx="0">
                  <c:v>Total</c:v>
                </c:pt>
              </c:strCache>
            </c:strRef>
          </c:tx>
          <c:spPr>
            <a:ln>
              <a:noFill/>
            </a:ln>
          </c:spPr>
          <c:explosion val="31"/>
          <c:dPt>
            <c:idx val="0"/>
            <c:bubble3D val="0"/>
            <c:spPr>
              <a:solidFill>
                <a:srgbClr val="E8E8E7"/>
              </a:solidFill>
              <a:ln w="25400">
                <a:noFill/>
              </a:ln>
              <a:effectLst/>
              <a:sp3d/>
            </c:spPr>
            <c:extLst>
              <c:ext xmlns:c16="http://schemas.microsoft.com/office/drawing/2014/chart" uri="{C3380CC4-5D6E-409C-BE32-E72D297353CC}">
                <c16:uniqueId val="{00000001-C790-4FDC-A146-46DD7CEE3447}"/>
              </c:ext>
            </c:extLst>
          </c:dPt>
          <c:dPt>
            <c:idx val="1"/>
            <c:bubble3D val="0"/>
            <c:spPr>
              <a:solidFill>
                <a:srgbClr val="EF4444"/>
              </a:solidFill>
              <a:ln w="25400">
                <a:noFill/>
              </a:ln>
              <a:effectLst/>
              <a:sp3d/>
            </c:spPr>
            <c:extLst>
              <c:ext xmlns:c16="http://schemas.microsoft.com/office/drawing/2014/chart" uri="{C3380CC4-5D6E-409C-BE32-E72D297353CC}">
                <c16:uniqueId val="{00000003-C790-4FDC-A146-46DD7CEE3447}"/>
              </c:ext>
            </c:extLst>
          </c:dPt>
          <c:dLbls>
            <c:dLbl>
              <c:idx val="0"/>
              <c:layout>
                <c:manualLayout>
                  <c:x val="3.6436949936286572E-2"/>
                  <c:y val="-0.1917807115920114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90-4FDC-A146-46DD7CEE3447}"/>
                </c:ext>
              </c:extLst>
            </c:dLbl>
            <c:dLbl>
              <c:idx val="1"/>
              <c:layout>
                <c:manualLayout>
                  <c:x val="-1.8218474968143286E-2"/>
                  <c:y val="2.5168072384473131E-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34025594395677"/>
                      <c:h val="0.18091313793513078"/>
                    </c:manualLayout>
                  </c15:layout>
                </c:ext>
                <c:ext xmlns:c16="http://schemas.microsoft.com/office/drawing/2014/chart" uri="{C3380CC4-5D6E-409C-BE32-E72D297353CC}">
                  <c16:uniqueId val="{00000003-C790-4FDC-A146-46DD7CEE34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Analysis!$A$22:$A$24</c:f>
              <c:strCache>
                <c:ptCount val="2"/>
                <c:pt idx="0">
                  <c:v>Air</c:v>
                </c:pt>
                <c:pt idx="1">
                  <c:v>Road</c:v>
                </c:pt>
              </c:strCache>
            </c:strRef>
          </c:cat>
          <c:val>
            <c:numRef>
              <c:f>Analysis!$B$22:$B$24</c:f>
              <c:numCache>
                <c:formatCode>0.00%</c:formatCode>
                <c:ptCount val="2"/>
                <c:pt idx="0">
                  <c:v>0.60381651889834698</c:v>
                </c:pt>
                <c:pt idx="1">
                  <c:v>0.39618348110165302</c:v>
                </c:pt>
              </c:numCache>
            </c:numRef>
          </c:val>
          <c:extLst>
            <c:ext xmlns:c16="http://schemas.microsoft.com/office/drawing/2014/chart" uri="{C3380CC4-5D6E-409C-BE32-E72D297353CC}">
              <c16:uniqueId val="{00000004-C790-4FDC-A146-46DD7CEE3447}"/>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476443655318753"/>
          <c:y val="0.71884293310729053"/>
          <c:w val="0.31123180253058513"/>
          <c:h val="0.22657053805311875"/>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57779068416041"/>
              <c:y val="-7.8703680975571441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06933508311461"/>
                  <c:h val="0.1434492563429571"/>
                </c:manualLayout>
              </c15:layout>
            </c:ext>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57779068416041"/>
              <c:y val="-7.8703680975571441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06933508311461"/>
                  <c:h val="0.1434492563429571"/>
                </c:manualLayout>
              </c15:layout>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F444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F4444"/>
          </a:solidFill>
          <a:ln w="19050">
            <a:noFill/>
          </a:ln>
          <a:effectLst/>
        </c:spPr>
        <c:dLbl>
          <c:idx val="0"/>
          <c:layout>
            <c:manualLayout>
              <c:x val="-0.18577789424318292"/>
              <c:y val="-0.1644322298916031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06921131678384"/>
                  <c:h val="0.14344906134631999"/>
                </c:manualLayout>
              </c15:layout>
            </c:ext>
          </c:extLst>
        </c:dLbl>
      </c:pivotFmt>
      <c:pivotFmt>
        <c:idx val="8"/>
        <c:spPr>
          <a:solidFill>
            <a:schemeClr val="bg1">
              <a:lumMod val="6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F444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4988329137534"/>
          <c:y val="0.16381519519283635"/>
          <c:w val="0.44509340312018797"/>
          <c:h val="0.83618480480716362"/>
        </c:manualLayout>
      </c:layout>
      <c:doughnutChart>
        <c:varyColors val="1"/>
        <c:ser>
          <c:idx val="0"/>
          <c:order val="0"/>
          <c:tx>
            <c:strRef>
              <c:f>Analysis!$B$30</c:f>
              <c:strCache>
                <c:ptCount val="1"/>
                <c:pt idx="0">
                  <c:v>Total</c:v>
                </c:pt>
              </c:strCache>
            </c:strRef>
          </c:tx>
          <c:spPr>
            <a:solidFill>
              <a:schemeClr val="bg1">
                <a:lumMod val="65000"/>
              </a:schemeClr>
            </a:solidFill>
            <a:ln>
              <a:noFill/>
            </a:ln>
          </c:spPr>
          <c:explosion val="27"/>
          <c:dPt>
            <c:idx val="0"/>
            <c:bubble3D val="0"/>
            <c:spPr>
              <a:solidFill>
                <a:srgbClr val="EF4444"/>
              </a:solidFill>
              <a:ln w="19050">
                <a:noFill/>
              </a:ln>
              <a:effectLst/>
            </c:spPr>
            <c:extLst>
              <c:ext xmlns:c16="http://schemas.microsoft.com/office/drawing/2014/chart" uri="{C3380CC4-5D6E-409C-BE32-E72D297353CC}">
                <c16:uniqueId val="{00000001-8D27-480A-9A46-D89D6C7C4ED7}"/>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8D27-480A-9A46-D89D6C7C4ED7}"/>
              </c:ext>
            </c:extLst>
          </c:dPt>
          <c:dLbls>
            <c:dLbl>
              <c:idx val="0"/>
              <c:layout>
                <c:manualLayout>
                  <c:x val="-0.18577789424318292"/>
                  <c:y val="-0.16443222989160311"/>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EF4444"/>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06921131678384"/>
                      <c:h val="0.14344906134631999"/>
                    </c:manualLayout>
                  </c15:layout>
                </c:ext>
                <c:ext xmlns:c16="http://schemas.microsoft.com/office/drawing/2014/chart" uri="{C3380CC4-5D6E-409C-BE32-E72D297353CC}">
                  <c16:uniqueId val="{00000001-8D27-480A-9A46-D89D6C7C4ED7}"/>
                </c:ext>
              </c:extLst>
            </c:dLbl>
            <c:dLbl>
              <c:idx val="1"/>
              <c:delete val="1"/>
              <c:extLst>
                <c:ext xmlns:c15="http://schemas.microsoft.com/office/drawing/2012/chart" uri="{CE6537A1-D6FC-4f65-9D91-7224C49458BB}"/>
                <c:ext xmlns:c16="http://schemas.microsoft.com/office/drawing/2014/chart" uri="{C3380CC4-5D6E-409C-BE32-E72D297353CC}">
                  <c16:uniqueId val="{00000003-8D27-480A-9A46-D89D6C7C4E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F44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Analysis!$A$31:$A$33</c:f>
              <c:strCache>
                <c:ptCount val="2"/>
                <c:pt idx="0">
                  <c:v>Delayed</c:v>
                </c:pt>
                <c:pt idx="1">
                  <c:v>On-Time</c:v>
                </c:pt>
              </c:strCache>
            </c:strRef>
          </c:cat>
          <c:val>
            <c:numRef>
              <c:f>Analysis!$B$31:$B$33</c:f>
              <c:numCache>
                <c:formatCode>0.00%</c:formatCode>
                <c:ptCount val="2"/>
                <c:pt idx="0">
                  <c:v>0.56822222060815253</c:v>
                </c:pt>
                <c:pt idx="1">
                  <c:v>0.43177777939184747</c:v>
                </c:pt>
              </c:numCache>
            </c:numRef>
          </c:val>
          <c:extLst>
            <c:ext xmlns:c16="http://schemas.microsoft.com/office/drawing/2014/chart" uri="{C3380CC4-5D6E-409C-BE32-E72D297353CC}">
              <c16:uniqueId val="{00000004-8D27-480A-9A46-D89D6C7C4ED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9419348214378518"/>
          <c:y val="0.36848416267378842"/>
          <c:w val="0.28180652541526763"/>
          <c:h val="0.4734555415913910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8E8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74551028901861E-2"/>
          <c:y val="0.15580602398701887"/>
          <c:w val="0.74137345999673177"/>
          <c:h val="0.61111111111111116"/>
        </c:manualLayout>
      </c:layout>
      <c:barChart>
        <c:barDir val="bar"/>
        <c:grouping val="percentStacked"/>
        <c:varyColors val="0"/>
        <c:ser>
          <c:idx val="0"/>
          <c:order val="0"/>
          <c:tx>
            <c:strRef>
              <c:f>Analysis!$I$20:$I$21</c:f>
              <c:strCache>
                <c:ptCount val="1"/>
                <c:pt idx="0">
                  <c:v>Abuja</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Analysis!$I$22</c:f>
              <c:numCache>
                <c:formatCode>[&gt;=1000000]\₦0,,"M";[&gt;=1000]\₦0,"K";\₦0</c:formatCode>
                <c:ptCount val="1"/>
                <c:pt idx="0">
                  <c:v>11961011</c:v>
                </c:pt>
              </c:numCache>
            </c:numRef>
          </c:val>
          <c:extLst>
            <c:ext xmlns:c16="http://schemas.microsoft.com/office/drawing/2014/chart" uri="{C3380CC4-5D6E-409C-BE32-E72D297353CC}">
              <c16:uniqueId val="{00000000-A876-4C03-8A70-7DA5FC0DD953}"/>
            </c:ext>
          </c:extLst>
        </c:ser>
        <c:ser>
          <c:idx val="1"/>
          <c:order val="1"/>
          <c:tx>
            <c:strRef>
              <c:f>Analysis!$J$20:$J$21</c:f>
              <c:strCache>
                <c:ptCount val="1"/>
                <c:pt idx="0">
                  <c:v>Accra</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Analysis!$J$22</c:f>
              <c:numCache>
                <c:formatCode>[&gt;=1000000]\₦0,,"M";[&gt;=1000]\₦0,"K";\₦0</c:formatCode>
                <c:ptCount val="1"/>
                <c:pt idx="0">
                  <c:v>12708445</c:v>
                </c:pt>
              </c:numCache>
            </c:numRef>
          </c:val>
          <c:extLst>
            <c:ext xmlns:c16="http://schemas.microsoft.com/office/drawing/2014/chart" uri="{C3380CC4-5D6E-409C-BE32-E72D297353CC}">
              <c16:uniqueId val="{00000011-A876-4C03-8A70-7DA5FC0DD953}"/>
            </c:ext>
          </c:extLst>
        </c:ser>
        <c:ser>
          <c:idx val="2"/>
          <c:order val="2"/>
          <c:tx>
            <c:strRef>
              <c:f>Analysis!$K$20:$K$21</c:f>
              <c:strCache>
                <c:ptCount val="1"/>
                <c:pt idx="0">
                  <c:v>Kumasi</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Analysis!$K$22</c:f>
              <c:numCache>
                <c:formatCode>[&gt;=1000000]\₦0,,"M";[&gt;=1000]\₦0,"K";\₦0</c:formatCode>
                <c:ptCount val="1"/>
                <c:pt idx="0">
                  <c:v>10888605</c:v>
                </c:pt>
              </c:numCache>
            </c:numRef>
          </c:val>
          <c:extLst>
            <c:ext xmlns:c16="http://schemas.microsoft.com/office/drawing/2014/chart" uri="{C3380CC4-5D6E-409C-BE32-E72D297353CC}">
              <c16:uniqueId val="{00000012-A876-4C03-8A70-7DA5FC0DD953}"/>
            </c:ext>
          </c:extLst>
        </c:ser>
        <c:ser>
          <c:idx val="3"/>
          <c:order val="3"/>
          <c:tx>
            <c:strRef>
              <c:f>Analysis!$L$20:$L$21</c:f>
              <c:strCache>
                <c:ptCount val="1"/>
                <c:pt idx="0">
                  <c:v>Lagos</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Analysis!$L$22</c:f>
              <c:numCache>
                <c:formatCode>[&gt;=1000000]\₦0,,"M";[&gt;=1000]\₦0,"K";\₦0</c:formatCode>
                <c:ptCount val="1"/>
                <c:pt idx="0">
                  <c:v>14286345</c:v>
                </c:pt>
              </c:numCache>
            </c:numRef>
          </c:val>
          <c:extLst>
            <c:ext xmlns:c16="http://schemas.microsoft.com/office/drawing/2014/chart" uri="{C3380CC4-5D6E-409C-BE32-E72D297353CC}">
              <c16:uniqueId val="{00000013-A876-4C03-8A70-7DA5FC0DD953}"/>
            </c:ext>
          </c:extLst>
        </c:ser>
        <c:ser>
          <c:idx val="4"/>
          <c:order val="4"/>
          <c:tx>
            <c:strRef>
              <c:f>Analysis!$M$20:$M$21</c:f>
              <c:strCache>
                <c:ptCount val="1"/>
                <c:pt idx="0">
                  <c:v>Mombasa</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Analysis!$M$22</c:f>
              <c:numCache>
                <c:formatCode>[&gt;=1000000]\₦0,,"M";[&gt;=1000]\₦0,"K";\₦0</c:formatCode>
                <c:ptCount val="1"/>
                <c:pt idx="0">
                  <c:v>11103276</c:v>
                </c:pt>
              </c:numCache>
            </c:numRef>
          </c:val>
          <c:extLst>
            <c:ext xmlns:c16="http://schemas.microsoft.com/office/drawing/2014/chart" uri="{C3380CC4-5D6E-409C-BE32-E72D297353CC}">
              <c16:uniqueId val="{00000014-A876-4C03-8A70-7DA5FC0DD953}"/>
            </c:ext>
          </c:extLst>
        </c:ser>
        <c:ser>
          <c:idx val="5"/>
          <c:order val="5"/>
          <c:tx>
            <c:strRef>
              <c:f>Analysis!$N$20:$N$21</c:f>
              <c:strCache>
                <c:ptCount val="1"/>
                <c:pt idx="0">
                  <c:v>Nairobi</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Analysis!$N$22</c:f>
              <c:numCache>
                <c:formatCode>[&gt;=1000000]\₦0,,"M";[&gt;=1000]\₦0,"K";\₦0</c:formatCode>
                <c:ptCount val="1"/>
                <c:pt idx="0">
                  <c:v>13553728</c:v>
                </c:pt>
              </c:numCache>
            </c:numRef>
          </c:val>
          <c:extLst>
            <c:ext xmlns:c16="http://schemas.microsoft.com/office/drawing/2014/chart" uri="{C3380CC4-5D6E-409C-BE32-E72D297353CC}">
              <c16:uniqueId val="{00000015-A876-4C03-8A70-7DA5FC0DD953}"/>
            </c:ext>
          </c:extLst>
        </c:ser>
        <c:ser>
          <c:idx val="6"/>
          <c:order val="6"/>
          <c:tx>
            <c:strRef>
              <c:f>Analysis!$O$20:$O$21</c:f>
              <c:strCache>
                <c:ptCount val="1"/>
                <c:pt idx="0">
                  <c:v>Port Harcourt</c:v>
                </c:pt>
              </c:strCache>
            </c:strRef>
          </c:tx>
          <c:spPr>
            <a:solidFill>
              <a:srgbClr val="EF44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Analysis!$O$22</c:f>
              <c:numCache>
                <c:formatCode>[&gt;=1000000]\₦0,,"M";[&gt;=1000]\₦0,"K";\₦0</c:formatCode>
                <c:ptCount val="1"/>
                <c:pt idx="0">
                  <c:v>7251039</c:v>
                </c:pt>
              </c:numCache>
            </c:numRef>
          </c:val>
          <c:extLst>
            <c:ext xmlns:c16="http://schemas.microsoft.com/office/drawing/2014/chart" uri="{C3380CC4-5D6E-409C-BE32-E72D297353CC}">
              <c16:uniqueId val="{00000016-A876-4C03-8A70-7DA5FC0DD953}"/>
            </c:ext>
          </c:extLst>
        </c:ser>
        <c:ser>
          <c:idx val="7"/>
          <c:order val="7"/>
          <c:tx>
            <c:strRef>
              <c:f>Analysis!$P$20:$P$21</c:f>
              <c:strCache>
                <c:ptCount val="1"/>
                <c:pt idx="0">
                  <c:v>Takoradi</c:v>
                </c:pt>
              </c:strCache>
            </c:strRef>
          </c:tx>
          <c:spPr>
            <a:solidFill>
              <a:srgbClr val="E8E8E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c:f>
              <c:strCache>
                <c:ptCount val="1"/>
                <c:pt idx="0">
                  <c:v>Total</c:v>
                </c:pt>
              </c:strCache>
            </c:strRef>
          </c:cat>
          <c:val>
            <c:numRef>
              <c:f>Analysis!$P$22</c:f>
              <c:numCache>
                <c:formatCode>[&gt;=1000000]\₦0,,"M";[&gt;=1000]\₦0,"K";\₦0</c:formatCode>
                <c:ptCount val="1"/>
                <c:pt idx="0">
                  <c:v>11318019</c:v>
                </c:pt>
              </c:numCache>
            </c:numRef>
          </c:val>
          <c:extLst>
            <c:ext xmlns:c16="http://schemas.microsoft.com/office/drawing/2014/chart" uri="{C3380CC4-5D6E-409C-BE32-E72D297353CC}">
              <c16:uniqueId val="{00000017-A876-4C03-8A70-7DA5FC0DD953}"/>
            </c:ext>
          </c:extLst>
        </c:ser>
        <c:dLbls>
          <c:dLblPos val="ctr"/>
          <c:showLegendKey val="0"/>
          <c:showVal val="1"/>
          <c:showCatName val="0"/>
          <c:showSerName val="0"/>
          <c:showPercent val="0"/>
          <c:showBubbleSize val="0"/>
        </c:dLbls>
        <c:gapWidth val="150"/>
        <c:overlap val="100"/>
        <c:axId val="1344091823"/>
        <c:axId val="1344083919"/>
      </c:barChart>
      <c:catAx>
        <c:axId val="1344091823"/>
        <c:scaling>
          <c:orientation val="minMax"/>
        </c:scaling>
        <c:delete val="1"/>
        <c:axPos val="l"/>
        <c:numFmt formatCode="General" sourceLinked="1"/>
        <c:majorTickMark val="none"/>
        <c:minorTickMark val="none"/>
        <c:tickLblPos val="nextTo"/>
        <c:crossAx val="1344083919"/>
        <c:crosses val="autoZero"/>
        <c:auto val="1"/>
        <c:lblAlgn val="ctr"/>
        <c:lblOffset val="100"/>
        <c:noMultiLvlLbl val="0"/>
      </c:catAx>
      <c:valAx>
        <c:axId val="1344083919"/>
        <c:scaling>
          <c:orientation val="minMax"/>
        </c:scaling>
        <c:delete val="1"/>
        <c:axPos val="b"/>
        <c:numFmt formatCode="0%" sourceLinked="1"/>
        <c:majorTickMark val="none"/>
        <c:minorTickMark val="none"/>
        <c:tickLblPos val="nextTo"/>
        <c:crossAx val="1344091823"/>
        <c:crosses val="autoZero"/>
        <c:crossBetween val="between"/>
      </c:valAx>
      <c:spPr>
        <a:noFill/>
        <a:ln w="25400">
          <a:noFill/>
        </a:ln>
        <a:effectLst/>
      </c:spPr>
    </c:plotArea>
    <c:legend>
      <c:legendPos val="r"/>
      <c:layout>
        <c:manualLayout>
          <c:xMode val="edge"/>
          <c:yMode val="edge"/>
          <c:x val="4.786997601565534E-2"/>
          <c:y val="0.64539604600293743"/>
          <c:w val="0.94942109126674312"/>
          <c:h val="0.2149549286501016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E8E8E7"/>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2.png"/><Relationship Id="rId18" Type="http://schemas.openxmlformats.org/officeDocument/2006/relationships/image" Target="../media/image5.png"/><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hyperlink" Target="#Analysis!A1"/><Relationship Id="rId17" Type="http://schemas.openxmlformats.org/officeDocument/2006/relationships/image" Target="../media/image4.png"/><Relationship Id="rId2" Type="http://schemas.openxmlformats.org/officeDocument/2006/relationships/chart" Target="../charts/chart3.xml"/><Relationship Id="rId16" Type="http://schemas.openxmlformats.org/officeDocument/2006/relationships/hyperlink" Target="http://www.linkedin.com/in/amudipeayomide" TargetMode="Externa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1.png"/><Relationship Id="rId5" Type="http://schemas.openxmlformats.org/officeDocument/2006/relationships/chart" Target="../charts/chart6.xml"/><Relationship Id="rId15" Type="http://schemas.openxmlformats.org/officeDocument/2006/relationships/image" Target="../media/image3.png"/><Relationship Id="rId10" Type="http://schemas.openxmlformats.org/officeDocument/2006/relationships/hyperlink" Target="#Dashboard!A1"/><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hyperlink" Target="#Shipments!A1"/></Relationships>
</file>

<file path=xl/drawings/drawing1.xml><?xml version="1.0" encoding="utf-8"?>
<xdr:wsDr xmlns:xdr="http://schemas.openxmlformats.org/drawingml/2006/spreadsheetDrawing" xmlns:a="http://schemas.openxmlformats.org/drawingml/2006/main">
  <xdr:twoCellAnchor>
    <xdr:from>
      <xdr:col>2</xdr:col>
      <xdr:colOff>75405</xdr:colOff>
      <xdr:row>17</xdr:row>
      <xdr:rowOff>21432</xdr:rowOff>
    </xdr:from>
    <xdr:to>
      <xdr:col>6</xdr:col>
      <xdr:colOff>674687</xdr:colOff>
      <xdr:row>32</xdr:row>
      <xdr:rowOff>26194</xdr:rowOff>
    </xdr:to>
    <xdr:graphicFrame macro="">
      <xdr:nvGraphicFramePr>
        <xdr:cNvPr id="11" name="Chart 10">
          <a:extLst>
            <a:ext uri="{FF2B5EF4-FFF2-40B4-BE49-F238E27FC236}">
              <a16:creationId xmlns:a16="http://schemas.microsoft.com/office/drawing/2014/main" id="{9664216D-AC92-4C15-896B-1CBAA736B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190500</xdr:colOff>
      <xdr:row>24</xdr:row>
      <xdr:rowOff>33338</xdr:rowOff>
    </xdr:from>
    <xdr:to>
      <xdr:col>16</xdr:col>
      <xdr:colOff>571500</xdr:colOff>
      <xdr:row>26</xdr:row>
      <xdr:rowOff>166687</xdr:rowOff>
    </xdr:to>
    <mc:AlternateContent xmlns:mc="http://schemas.openxmlformats.org/markup-compatibility/2006" xmlns:a14="http://schemas.microsoft.com/office/drawing/2010/main">
      <mc:Choice Requires="a14">
        <xdr:graphicFrame macro="">
          <xdr:nvGraphicFramePr>
            <xdr:cNvPr id="12" name="Origin">
              <a:extLst>
                <a:ext uri="{FF2B5EF4-FFF2-40B4-BE49-F238E27FC236}">
                  <a16:creationId xmlns:a16="http://schemas.microsoft.com/office/drawing/2014/main" id="{5A82D9F3-2D3D-48B0-86CC-89000D80DE8F}"/>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8493125" y="4502151"/>
              <a:ext cx="6929438" cy="498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97067</xdr:colOff>
      <xdr:row>4</xdr:row>
      <xdr:rowOff>104322</xdr:rowOff>
    </xdr:from>
    <xdr:to>
      <xdr:col>30</xdr:col>
      <xdr:colOff>301886</xdr:colOff>
      <xdr:row>47</xdr:row>
      <xdr:rowOff>72571</xdr:rowOff>
    </xdr:to>
    <xdr:sp macro="" textlink="">
      <xdr:nvSpPr>
        <xdr:cNvPr id="2" name="Rectangle: Rounded Corners 1">
          <a:extLst>
            <a:ext uri="{FF2B5EF4-FFF2-40B4-BE49-F238E27FC236}">
              <a16:creationId xmlns:a16="http://schemas.microsoft.com/office/drawing/2014/main" id="{FE017828-3FCD-4323-9A44-2C268F8B1587}"/>
            </a:ext>
          </a:extLst>
        </xdr:cNvPr>
        <xdr:cNvSpPr/>
      </xdr:nvSpPr>
      <xdr:spPr>
        <a:xfrm>
          <a:off x="2553788" y="853830"/>
          <a:ext cx="16173508" cy="8025462"/>
        </a:xfrm>
        <a:prstGeom prst="roundRect">
          <a:avLst>
            <a:gd name="adj" fmla="val 4071"/>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321231</xdr:colOff>
      <xdr:row>5</xdr:row>
      <xdr:rowOff>90715</xdr:rowOff>
    </xdr:from>
    <xdr:to>
      <xdr:col>6</xdr:col>
      <xdr:colOff>50229</xdr:colOff>
      <xdr:row>45</xdr:row>
      <xdr:rowOff>172358</xdr:rowOff>
    </xdr:to>
    <xdr:sp macro="" textlink="">
      <xdr:nvSpPr>
        <xdr:cNvPr id="3" name="Rectangle: Rounded Corners 2">
          <a:extLst>
            <a:ext uri="{FF2B5EF4-FFF2-40B4-BE49-F238E27FC236}">
              <a16:creationId xmlns:a16="http://schemas.microsoft.com/office/drawing/2014/main" id="{9138520D-C754-4D79-B781-96741B11DAF4}"/>
            </a:ext>
          </a:extLst>
        </xdr:cNvPr>
        <xdr:cNvSpPr/>
      </xdr:nvSpPr>
      <xdr:spPr>
        <a:xfrm>
          <a:off x="2752374" y="997858"/>
          <a:ext cx="944569" cy="7338786"/>
        </a:xfrm>
        <a:prstGeom prst="roundRect">
          <a:avLst>
            <a:gd name="adj" fmla="val 21911"/>
          </a:avLst>
        </a:prstGeom>
        <a:solidFill>
          <a:srgbClr val="1E21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131579</xdr:colOff>
      <xdr:row>4</xdr:row>
      <xdr:rowOff>163286</xdr:rowOff>
    </xdr:from>
    <xdr:to>
      <xdr:col>11</xdr:col>
      <xdr:colOff>599758</xdr:colOff>
      <xdr:row>7</xdr:row>
      <xdr:rowOff>18143</xdr:rowOff>
    </xdr:to>
    <xdr:sp macro="" textlink="">
      <xdr:nvSpPr>
        <xdr:cNvPr id="4" name="TextBox 3">
          <a:extLst>
            <a:ext uri="{FF2B5EF4-FFF2-40B4-BE49-F238E27FC236}">
              <a16:creationId xmlns:a16="http://schemas.microsoft.com/office/drawing/2014/main" id="{FE35F0F3-2F2C-422E-8CCF-F31FF617EBE4}"/>
            </a:ext>
          </a:extLst>
        </xdr:cNvPr>
        <xdr:cNvSpPr txBox="1"/>
      </xdr:nvSpPr>
      <xdr:spPr>
        <a:xfrm>
          <a:off x="3778293" y="889000"/>
          <a:ext cx="3507108"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8E8E7"/>
              </a:solidFill>
              <a:latin typeface="Segoe UI Semibold" panose="020B0702040204020203" pitchFamily="34" charset="0"/>
              <a:cs typeface="Segoe UI Semibold" panose="020B0702040204020203" pitchFamily="34" charset="0"/>
            </a:rPr>
            <a:t>Freight Expense Dashboard</a:t>
          </a:r>
        </a:p>
      </xdr:txBody>
    </xdr:sp>
    <xdr:clientData/>
  </xdr:twoCellAnchor>
  <xdr:twoCellAnchor>
    <xdr:from>
      <xdr:col>6</xdr:col>
      <xdr:colOff>294279</xdr:colOff>
      <xdr:row>8</xdr:row>
      <xdr:rowOff>135163</xdr:rowOff>
    </xdr:from>
    <xdr:to>
      <xdr:col>11</xdr:col>
      <xdr:colOff>292434</xdr:colOff>
      <xdr:row>18</xdr:row>
      <xdr:rowOff>53521</xdr:rowOff>
    </xdr:to>
    <xdr:sp macro="" textlink="">
      <xdr:nvSpPr>
        <xdr:cNvPr id="5" name="Rectangle: Rounded Corners 4">
          <a:extLst>
            <a:ext uri="{FF2B5EF4-FFF2-40B4-BE49-F238E27FC236}">
              <a16:creationId xmlns:a16="http://schemas.microsoft.com/office/drawing/2014/main" id="{E634DFD3-11EB-4980-AE2E-86A7417C12E9}"/>
            </a:ext>
          </a:extLst>
        </xdr:cNvPr>
        <xdr:cNvSpPr/>
      </xdr:nvSpPr>
      <xdr:spPr>
        <a:xfrm>
          <a:off x="3940993" y="1586592"/>
          <a:ext cx="3037084" cy="1732643"/>
        </a:xfrm>
        <a:prstGeom prst="roundRect">
          <a:avLst/>
        </a:prstGeom>
        <a:solidFill>
          <a:srgbClr val="1E21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472402</xdr:colOff>
      <xdr:row>8</xdr:row>
      <xdr:rowOff>135163</xdr:rowOff>
    </xdr:from>
    <xdr:to>
      <xdr:col>28</xdr:col>
      <xdr:colOff>470557</xdr:colOff>
      <xdr:row>18</xdr:row>
      <xdr:rowOff>53521</xdr:rowOff>
    </xdr:to>
    <xdr:sp macro="" textlink="">
      <xdr:nvSpPr>
        <xdr:cNvPr id="6" name="Rectangle: Rounded Corners 5">
          <a:extLst>
            <a:ext uri="{FF2B5EF4-FFF2-40B4-BE49-F238E27FC236}">
              <a16:creationId xmlns:a16="http://schemas.microsoft.com/office/drawing/2014/main" id="{0981D35F-3C7D-4FC4-A8E3-AEB1A1E9665C}"/>
            </a:ext>
          </a:extLst>
        </xdr:cNvPr>
        <xdr:cNvSpPr/>
      </xdr:nvSpPr>
      <xdr:spPr>
        <a:xfrm>
          <a:off x="14451473" y="1586592"/>
          <a:ext cx="3037084" cy="1732643"/>
        </a:xfrm>
        <a:prstGeom prst="roundRect">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7837</xdr:colOff>
      <xdr:row>8</xdr:row>
      <xdr:rowOff>135163</xdr:rowOff>
    </xdr:from>
    <xdr:to>
      <xdr:col>23</xdr:col>
      <xdr:colOff>5993</xdr:colOff>
      <xdr:row>18</xdr:row>
      <xdr:rowOff>53521</xdr:rowOff>
    </xdr:to>
    <xdr:sp macro="" textlink="">
      <xdr:nvSpPr>
        <xdr:cNvPr id="7" name="Rectangle: Rounded Corners 6">
          <a:extLst>
            <a:ext uri="{FF2B5EF4-FFF2-40B4-BE49-F238E27FC236}">
              <a16:creationId xmlns:a16="http://schemas.microsoft.com/office/drawing/2014/main" id="{5E6F258B-B06E-49C5-9A44-FF03607A204A}"/>
            </a:ext>
          </a:extLst>
        </xdr:cNvPr>
        <xdr:cNvSpPr/>
      </xdr:nvSpPr>
      <xdr:spPr>
        <a:xfrm>
          <a:off x="10947980" y="1586592"/>
          <a:ext cx="3037084" cy="1732643"/>
        </a:xfrm>
        <a:prstGeom prst="roundRect">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151058</xdr:colOff>
      <xdr:row>8</xdr:row>
      <xdr:rowOff>135163</xdr:rowOff>
    </xdr:from>
    <xdr:to>
      <xdr:col>17</xdr:col>
      <xdr:colOff>149214</xdr:colOff>
      <xdr:row>18</xdr:row>
      <xdr:rowOff>53521</xdr:rowOff>
    </xdr:to>
    <xdr:sp macro="" textlink="">
      <xdr:nvSpPr>
        <xdr:cNvPr id="8" name="Rectangle: Rounded Corners 7">
          <a:extLst>
            <a:ext uri="{FF2B5EF4-FFF2-40B4-BE49-F238E27FC236}">
              <a16:creationId xmlns:a16="http://schemas.microsoft.com/office/drawing/2014/main" id="{97F406F9-3735-4C46-A343-B42E0D85BC4C}"/>
            </a:ext>
          </a:extLst>
        </xdr:cNvPr>
        <xdr:cNvSpPr/>
      </xdr:nvSpPr>
      <xdr:spPr>
        <a:xfrm>
          <a:off x="7444487" y="1586592"/>
          <a:ext cx="3037084" cy="1732643"/>
        </a:xfrm>
        <a:prstGeom prst="roundRect">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306933</xdr:colOff>
      <xdr:row>19</xdr:row>
      <xdr:rowOff>78921</xdr:rowOff>
    </xdr:from>
    <xdr:to>
      <xdr:col>13</xdr:col>
      <xdr:colOff>297119</xdr:colOff>
      <xdr:row>32</xdr:row>
      <xdr:rowOff>154215</xdr:rowOff>
    </xdr:to>
    <xdr:sp macro="" textlink="">
      <xdr:nvSpPr>
        <xdr:cNvPr id="9" name="Rectangle: Rounded Corners 8">
          <a:extLst>
            <a:ext uri="{FF2B5EF4-FFF2-40B4-BE49-F238E27FC236}">
              <a16:creationId xmlns:a16="http://schemas.microsoft.com/office/drawing/2014/main" id="{A75B980F-5670-4D43-8B43-7E0AD42592AE}"/>
            </a:ext>
          </a:extLst>
        </xdr:cNvPr>
        <xdr:cNvSpPr/>
      </xdr:nvSpPr>
      <xdr:spPr>
        <a:xfrm>
          <a:off x="3953647" y="3526064"/>
          <a:ext cx="4244686" cy="2433865"/>
        </a:xfrm>
        <a:prstGeom prst="roundRect">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521283</xdr:colOff>
      <xdr:row>19</xdr:row>
      <xdr:rowOff>24493</xdr:rowOff>
    </xdr:from>
    <xdr:to>
      <xdr:col>30</xdr:col>
      <xdr:colOff>93688</xdr:colOff>
      <xdr:row>33</xdr:row>
      <xdr:rowOff>9071</xdr:rowOff>
    </xdr:to>
    <xdr:sp macro="" textlink="">
      <xdr:nvSpPr>
        <xdr:cNvPr id="10" name="Rectangle: Rounded Corners 9">
          <a:extLst>
            <a:ext uri="{FF2B5EF4-FFF2-40B4-BE49-F238E27FC236}">
              <a16:creationId xmlns:a16="http://schemas.microsoft.com/office/drawing/2014/main" id="{F0C02201-147E-4573-868D-3E143A81D686}"/>
            </a:ext>
          </a:extLst>
        </xdr:cNvPr>
        <xdr:cNvSpPr/>
      </xdr:nvSpPr>
      <xdr:spPr>
        <a:xfrm>
          <a:off x="8505627" y="3584657"/>
          <a:ext cx="10013471" cy="2607857"/>
        </a:xfrm>
        <a:prstGeom prst="roundRect">
          <a:avLst/>
        </a:prstGeom>
        <a:solidFill>
          <a:srgbClr val="1E21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182195</xdr:colOff>
      <xdr:row>34</xdr:row>
      <xdr:rowOff>75293</xdr:rowOff>
    </xdr:from>
    <xdr:to>
      <xdr:col>14</xdr:col>
      <xdr:colOff>123204</xdr:colOff>
      <xdr:row>45</xdr:row>
      <xdr:rowOff>155266</xdr:rowOff>
    </xdr:to>
    <xdr:sp macro="" textlink="">
      <xdr:nvSpPr>
        <xdr:cNvPr id="11" name="Rectangle: Rounded Corners 10">
          <a:extLst>
            <a:ext uri="{FF2B5EF4-FFF2-40B4-BE49-F238E27FC236}">
              <a16:creationId xmlns:a16="http://schemas.microsoft.com/office/drawing/2014/main" id="{00241729-1D58-492A-9EF9-1AC88277B0AF}"/>
            </a:ext>
          </a:extLst>
        </xdr:cNvPr>
        <xdr:cNvSpPr/>
      </xdr:nvSpPr>
      <xdr:spPr>
        <a:xfrm>
          <a:off x="3828909" y="6243864"/>
          <a:ext cx="4803295" cy="2075688"/>
        </a:xfrm>
        <a:prstGeom prst="roundRect">
          <a:avLst/>
        </a:prstGeom>
        <a:solidFill>
          <a:srgbClr val="1B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212293</xdr:colOff>
      <xdr:row>34</xdr:row>
      <xdr:rowOff>23243</xdr:rowOff>
    </xdr:from>
    <xdr:to>
      <xdr:col>21</xdr:col>
      <xdr:colOff>202479</xdr:colOff>
      <xdr:row>45</xdr:row>
      <xdr:rowOff>98536</xdr:rowOff>
    </xdr:to>
    <xdr:sp macro="" textlink="">
      <xdr:nvSpPr>
        <xdr:cNvPr id="12" name="Rectangle: Rounded Corners 11">
          <a:extLst>
            <a:ext uri="{FF2B5EF4-FFF2-40B4-BE49-F238E27FC236}">
              <a16:creationId xmlns:a16="http://schemas.microsoft.com/office/drawing/2014/main" id="{619D45ED-3E88-450F-AADB-73A990FEDB85}"/>
            </a:ext>
          </a:extLst>
        </xdr:cNvPr>
        <xdr:cNvSpPr/>
      </xdr:nvSpPr>
      <xdr:spPr>
        <a:xfrm>
          <a:off x="8810818" y="6394063"/>
          <a:ext cx="4289448" cy="2136440"/>
        </a:xfrm>
        <a:prstGeom prst="roundRect">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273435</xdr:colOff>
      <xdr:row>34</xdr:row>
      <xdr:rowOff>54473</xdr:rowOff>
    </xdr:from>
    <xdr:to>
      <xdr:col>29</xdr:col>
      <xdr:colOff>614179</xdr:colOff>
      <xdr:row>45</xdr:row>
      <xdr:rowOff>129766</xdr:rowOff>
    </xdr:to>
    <xdr:sp macro="" textlink="">
      <xdr:nvSpPr>
        <xdr:cNvPr id="13" name="Rectangle: Rounded Corners 12">
          <a:extLst>
            <a:ext uri="{FF2B5EF4-FFF2-40B4-BE49-F238E27FC236}">
              <a16:creationId xmlns:a16="http://schemas.microsoft.com/office/drawing/2014/main" id="{A9220E99-86B7-4B9B-84C4-1D1657F8D95F}"/>
            </a:ext>
          </a:extLst>
        </xdr:cNvPr>
        <xdr:cNvSpPr/>
      </xdr:nvSpPr>
      <xdr:spPr>
        <a:xfrm>
          <a:off x="13171222" y="6425293"/>
          <a:ext cx="5254187" cy="2136440"/>
        </a:xfrm>
        <a:prstGeom prst="roundRect">
          <a:avLst/>
        </a:prstGeom>
        <a:solidFill>
          <a:srgbClr val="1112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475059</xdr:colOff>
      <xdr:row>9</xdr:row>
      <xdr:rowOff>43543</xdr:rowOff>
    </xdr:from>
    <xdr:to>
      <xdr:col>10</xdr:col>
      <xdr:colOff>385001</xdr:colOff>
      <xdr:row>10</xdr:row>
      <xdr:rowOff>143328</xdr:rowOff>
    </xdr:to>
    <xdr:sp macro="" textlink="">
      <xdr:nvSpPr>
        <xdr:cNvPr id="14" name="TextBox 13">
          <a:extLst>
            <a:ext uri="{FF2B5EF4-FFF2-40B4-BE49-F238E27FC236}">
              <a16:creationId xmlns:a16="http://schemas.microsoft.com/office/drawing/2014/main" id="{26BC5EEA-AE7F-443C-9A8B-788836EEEAB2}"/>
            </a:ext>
          </a:extLst>
        </xdr:cNvPr>
        <xdr:cNvSpPr txBox="1"/>
      </xdr:nvSpPr>
      <xdr:spPr>
        <a:xfrm>
          <a:off x="4121773" y="1676400"/>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latin typeface="Segoe UI Semibold" panose="020B0702040204020203" pitchFamily="34" charset="0"/>
              <a:cs typeface="Segoe UI Semibold" panose="020B0702040204020203" pitchFamily="34" charset="0"/>
            </a:rPr>
            <a:t>Total Freight</a:t>
          </a:r>
          <a:r>
            <a:rPr lang="en-US" sz="1200" baseline="0">
              <a:solidFill>
                <a:srgbClr val="E8E8E7"/>
              </a:solidFill>
              <a:latin typeface="Segoe UI Semibold" panose="020B0702040204020203" pitchFamily="34" charset="0"/>
              <a:cs typeface="Segoe UI Semibold" panose="020B0702040204020203" pitchFamily="34" charset="0"/>
            </a:rPr>
            <a:t> Cost</a:t>
          </a:r>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526636</xdr:colOff>
      <xdr:row>9</xdr:row>
      <xdr:rowOff>43543</xdr:rowOff>
    </xdr:from>
    <xdr:to>
      <xdr:col>27</xdr:col>
      <xdr:colOff>436578</xdr:colOff>
      <xdr:row>10</xdr:row>
      <xdr:rowOff>143328</xdr:rowOff>
    </xdr:to>
    <xdr:sp macro="" textlink="">
      <xdr:nvSpPr>
        <xdr:cNvPr id="15" name="TextBox 14">
          <a:extLst>
            <a:ext uri="{FF2B5EF4-FFF2-40B4-BE49-F238E27FC236}">
              <a16:creationId xmlns:a16="http://schemas.microsoft.com/office/drawing/2014/main" id="{CAA43085-914E-42C9-A915-AB7E3E368B21}"/>
            </a:ext>
          </a:extLst>
        </xdr:cNvPr>
        <xdr:cNvSpPr txBox="1"/>
      </xdr:nvSpPr>
      <xdr:spPr>
        <a:xfrm>
          <a:off x="14505707" y="1676400"/>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latin typeface="Segoe UI Semibold" panose="020B0702040204020203" pitchFamily="34" charset="0"/>
              <a:cs typeface="Segoe UI Semibold" panose="020B0702040204020203" pitchFamily="34" charset="0"/>
            </a:rPr>
            <a:t>On</a:t>
          </a:r>
          <a:r>
            <a:rPr lang="en-US" sz="1200" baseline="0">
              <a:solidFill>
                <a:srgbClr val="E8E8E7"/>
              </a:solidFill>
              <a:latin typeface="Segoe UI Semibold" panose="020B0702040204020203" pitchFamily="34" charset="0"/>
              <a:cs typeface="Segoe UI Semibold" panose="020B0702040204020203" pitchFamily="34" charset="0"/>
            </a:rPr>
            <a:t>-Time Delivery</a:t>
          </a:r>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110881</xdr:colOff>
      <xdr:row>9</xdr:row>
      <xdr:rowOff>43543</xdr:rowOff>
    </xdr:from>
    <xdr:to>
      <xdr:col>22</xdr:col>
      <xdr:colOff>20823</xdr:colOff>
      <xdr:row>10</xdr:row>
      <xdr:rowOff>143328</xdr:rowOff>
    </xdr:to>
    <xdr:sp macro="" textlink="">
      <xdr:nvSpPr>
        <xdr:cNvPr id="16" name="TextBox 15">
          <a:extLst>
            <a:ext uri="{FF2B5EF4-FFF2-40B4-BE49-F238E27FC236}">
              <a16:creationId xmlns:a16="http://schemas.microsoft.com/office/drawing/2014/main" id="{67478B04-C1DE-4E47-8EF9-D63E3804E1F4}"/>
            </a:ext>
          </a:extLst>
        </xdr:cNvPr>
        <xdr:cNvSpPr txBox="1"/>
      </xdr:nvSpPr>
      <xdr:spPr>
        <a:xfrm>
          <a:off x="11051024" y="1676400"/>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rgbClr val="E8E8E7"/>
              </a:solidFill>
              <a:latin typeface="Segoe UI Semibold" panose="020B0702040204020203" pitchFamily="34" charset="0"/>
              <a:cs typeface="Segoe UI Semibold" panose="020B0702040204020203" pitchFamily="34" charset="0"/>
            </a:rPr>
            <a:t>Avg Cost per KM</a:t>
          </a:r>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248678</xdr:colOff>
      <xdr:row>9</xdr:row>
      <xdr:rowOff>43543</xdr:rowOff>
    </xdr:from>
    <xdr:to>
      <xdr:col>16</xdr:col>
      <xdr:colOff>158621</xdr:colOff>
      <xdr:row>10</xdr:row>
      <xdr:rowOff>143328</xdr:rowOff>
    </xdr:to>
    <xdr:sp macro="" textlink="">
      <xdr:nvSpPr>
        <xdr:cNvPr id="17" name="TextBox 16">
          <a:extLst>
            <a:ext uri="{FF2B5EF4-FFF2-40B4-BE49-F238E27FC236}">
              <a16:creationId xmlns:a16="http://schemas.microsoft.com/office/drawing/2014/main" id="{55C8A7F6-05BD-4869-89BE-A8049EB5577D}"/>
            </a:ext>
          </a:extLst>
        </xdr:cNvPr>
        <xdr:cNvSpPr txBox="1"/>
      </xdr:nvSpPr>
      <xdr:spPr>
        <a:xfrm>
          <a:off x="7542107" y="1676400"/>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latin typeface="Segoe UI Semibold" panose="020B0702040204020203" pitchFamily="34" charset="0"/>
              <a:cs typeface="Segoe UI Semibold" panose="020B0702040204020203" pitchFamily="34" charset="0"/>
            </a:rPr>
            <a:t>Freight</a:t>
          </a:r>
          <a:r>
            <a:rPr lang="en-US" sz="1200" baseline="0">
              <a:solidFill>
                <a:srgbClr val="E8E8E7"/>
              </a:solidFill>
              <a:latin typeface="Segoe UI Semibold" panose="020B0702040204020203" pitchFamily="34" charset="0"/>
              <a:cs typeface="Segoe UI Semibold" panose="020B0702040204020203" pitchFamily="34" charset="0"/>
            </a:rPr>
            <a:t> Cost Variance</a:t>
          </a:r>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449750</xdr:colOff>
      <xdr:row>19</xdr:row>
      <xdr:rowOff>148774</xdr:rowOff>
    </xdr:from>
    <xdr:to>
      <xdr:col>10</xdr:col>
      <xdr:colOff>359692</xdr:colOff>
      <xdr:row>21</xdr:row>
      <xdr:rowOff>67131</xdr:rowOff>
    </xdr:to>
    <xdr:sp macro="" textlink="">
      <xdr:nvSpPr>
        <xdr:cNvPr id="18" name="TextBox 17">
          <a:extLst>
            <a:ext uri="{FF2B5EF4-FFF2-40B4-BE49-F238E27FC236}">
              <a16:creationId xmlns:a16="http://schemas.microsoft.com/office/drawing/2014/main" id="{DC60F01A-841A-42B9-88F6-FC91173722EC}"/>
            </a:ext>
          </a:extLst>
        </xdr:cNvPr>
        <xdr:cNvSpPr txBox="1"/>
      </xdr:nvSpPr>
      <xdr:spPr>
        <a:xfrm>
          <a:off x="4096464" y="3595917"/>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latin typeface="Segoe UI Semibold" panose="020B0702040204020203" pitchFamily="34" charset="0"/>
              <a:cs typeface="Segoe UI Semibold" panose="020B0702040204020203" pitchFamily="34" charset="0"/>
            </a:rPr>
            <a:t>Freight</a:t>
          </a:r>
          <a:r>
            <a:rPr lang="en-US" sz="1200" baseline="0">
              <a:solidFill>
                <a:srgbClr val="E8E8E7"/>
              </a:solidFill>
              <a:latin typeface="Segoe UI Semibold" panose="020B0702040204020203" pitchFamily="34" charset="0"/>
              <a:cs typeface="Segoe UI Semibold" panose="020B0702040204020203" pitchFamily="34" charset="0"/>
            </a:rPr>
            <a:t> Cost by Carrier</a:t>
          </a:r>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105127</xdr:colOff>
      <xdr:row>19</xdr:row>
      <xdr:rowOff>148774</xdr:rowOff>
    </xdr:from>
    <xdr:to>
      <xdr:col>18</xdr:col>
      <xdr:colOff>15069</xdr:colOff>
      <xdr:row>21</xdr:row>
      <xdr:rowOff>67131</xdr:rowOff>
    </xdr:to>
    <xdr:sp macro="" textlink="">
      <xdr:nvSpPr>
        <xdr:cNvPr id="19" name="TextBox 18">
          <a:extLst>
            <a:ext uri="{FF2B5EF4-FFF2-40B4-BE49-F238E27FC236}">
              <a16:creationId xmlns:a16="http://schemas.microsoft.com/office/drawing/2014/main" id="{E4C7BF59-D812-4859-8519-C7A75A9CB343}"/>
            </a:ext>
          </a:extLst>
        </xdr:cNvPr>
        <xdr:cNvSpPr txBox="1"/>
      </xdr:nvSpPr>
      <xdr:spPr>
        <a:xfrm>
          <a:off x="8614127" y="3595917"/>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latin typeface="Segoe UI Semibold" panose="020B0702040204020203" pitchFamily="34" charset="0"/>
              <a:cs typeface="Segoe UI Semibold" panose="020B0702040204020203" pitchFamily="34" charset="0"/>
            </a:rPr>
            <a:t>Freight</a:t>
          </a:r>
          <a:r>
            <a:rPr lang="en-US" sz="1200" baseline="0">
              <a:solidFill>
                <a:srgbClr val="E8E8E7"/>
              </a:solidFill>
              <a:latin typeface="Segoe UI Semibold" panose="020B0702040204020203" pitchFamily="34" charset="0"/>
              <a:cs typeface="Segoe UI Semibold" panose="020B0702040204020203" pitchFamily="34" charset="0"/>
            </a:rPr>
            <a:t> Cost Variance by Route</a:t>
          </a:r>
        </a:p>
        <a:p>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219837</xdr:colOff>
      <xdr:row>34</xdr:row>
      <xdr:rowOff>75293</xdr:rowOff>
    </xdr:from>
    <xdr:to>
      <xdr:col>10</xdr:col>
      <xdr:colOff>129779</xdr:colOff>
      <xdr:row>35</xdr:row>
      <xdr:rowOff>175078</xdr:rowOff>
    </xdr:to>
    <xdr:sp macro="" textlink="">
      <xdr:nvSpPr>
        <xdr:cNvPr id="21" name="TextBox 20">
          <a:extLst>
            <a:ext uri="{FF2B5EF4-FFF2-40B4-BE49-F238E27FC236}">
              <a16:creationId xmlns:a16="http://schemas.microsoft.com/office/drawing/2014/main" id="{940CBDEA-D234-455E-8BFD-71037AC4B7DD}"/>
            </a:ext>
          </a:extLst>
        </xdr:cNvPr>
        <xdr:cNvSpPr txBox="1"/>
      </xdr:nvSpPr>
      <xdr:spPr>
        <a:xfrm>
          <a:off x="3866551" y="6243864"/>
          <a:ext cx="2341085"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latin typeface="Segoe UI Semibold" panose="020B0702040204020203" pitchFamily="34" charset="0"/>
              <a:cs typeface="Segoe UI Semibold" panose="020B0702040204020203" pitchFamily="34" charset="0"/>
            </a:rPr>
            <a:t>Freight</a:t>
          </a:r>
          <a:r>
            <a:rPr lang="en-US" sz="1200" baseline="0">
              <a:solidFill>
                <a:srgbClr val="E8E8E7"/>
              </a:solidFill>
              <a:latin typeface="Segoe UI Semibold" panose="020B0702040204020203" pitchFamily="34" charset="0"/>
              <a:cs typeface="Segoe UI Semibold" panose="020B0702040204020203" pitchFamily="34" charset="0"/>
            </a:rPr>
            <a:t> Cost by Mode</a:t>
          </a:r>
        </a:p>
        <a:p>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557267</xdr:colOff>
      <xdr:row>34</xdr:row>
      <xdr:rowOff>75293</xdr:rowOff>
    </xdr:from>
    <xdr:to>
      <xdr:col>17</xdr:col>
      <xdr:colOff>351881</xdr:colOff>
      <xdr:row>35</xdr:row>
      <xdr:rowOff>175074</xdr:rowOff>
    </xdr:to>
    <xdr:sp macro="" textlink="">
      <xdr:nvSpPr>
        <xdr:cNvPr id="22" name="TextBox 21">
          <a:extLst>
            <a:ext uri="{FF2B5EF4-FFF2-40B4-BE49-F238E27FC236}">
              <a16:creationId xmlns:a16="http://schemas.microsoft.com/office/drawing/2014/main" id="{E3D6B71F-EE9B-433E-868D-E1B700EB6C5F}"/>
            </a:ext>
          </a:extLst>
        </xdr:cNvPr>
        <xdr:cNvSpPr txBox="1"/>
      </xdr:nvSpPr>
      <xdr:spPr>
        <a:xfrm>
          <a:off x="9066267" y="6243864"/>
          <a:ext cx="1617971" cy="28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rgbClr val="E8E8E7"/>
              </a:solidFill>
              <a:latin typeface="Segoe UI Semibold" panose="020B0702040204020203" pitchFamily="34" charset="0"/>
              <a:cs typeface="Segoe UI Semibold" panose="020B0702040204020203" pitchFamily="34" charset="0"/>
            </a:rPr>
            <a:t>Delivery Status</a:t>
          </a:r>
        </a:p>
        <a:p>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266148</xdr:colOff>
      <xdr:row>34</xdr:row>
      <xdr:rowOff>96113</xdr:rowOff>
    </xdr:from>
    <xdr:to>
      <xdr:col>24</xdr:col>
      <xdr:colOff>207191</xdr:colOff>
      <xdr:row>36</xdr:row>
      <xdr:rowOff>10332</xdr:rowOff>
    </xdr:to>
    <xdr:sp macro="" textlink="">
      <xdr:nvSpPr>
        <xdr:cNvPr id="23" name="TextBox 22">
          <a:extLst>
            <a:ext uri="{FF2B5EF4-FFF2-40B4-BE49-F238E27FC236}">
              <a16:creationId xmlns:a16="http://schemas.microsoft.com/office/drawing/2014/main" id="{5E25189D-C3F0-45F1-86B4-1746234FCDAF}"/>
            </a:ext>
          </a:extLst>
        </xdr:cNvPr>
        <xdr:cNvSpPr txBox="1"/>
      </xdr:nvSpPr>
      <xdr:spPr>
        <a:xfrm>
          <a:off x="13163935" y="6466933"/>
          <a:ext cx="1783584" cy="288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rgbClr val="E8E8E7"/>
              </a:solidFill>
              <a:latin typeface="Segoe UI Semibold" panose="020B0702040204020203" pitchFamily="34" charset="0"/>
              <a:cs typeface="Segoe UI Semibold" panose="020B0702040204020203" pitchFamily="34" charset="0"/>
            </a:rPr>
            <a:t>Freight Cost by Origin</a:t>
          </a:r>
        </a:p>
        <a:p>
          <a:endParaRPr lang="en-US" sz="12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464114</xdr:colOff>
      <xdr:row>10</xdr:row>
      <xdr:rowOff>40819</xdr:rowOff>
    </xdr:from>
    <xdr:to>
      <xdr:col>10</xdr:col>
      <xdr:colOff>374056</xdr:colOff>
      <xdr:row>13</xdr:row>
      <xdr:rowOff>126091</xdr:rowOff>
    </xdr:to>
    <xdr:sp macro="" textlink="TFC">
      <xdr:nvSpPr>
        <xdr:cNvPr id="27" name="TextBox 26">
          <a:extLst>
            <a:ext uri="{FF2B5EF4-FFF2-40B4-BE49-F238E27FC236}">
              <a16:creationId xmlns:a16="http://schemas.microsoft.com/office/drawing/2014/main" id="{3690C24E-BA86-4D1F-B6B8-82DB59A03385}"/>
            </a:ext>
          </a:extLst>
        </xdr:cNvPr>
        <xdr:cNvSpPr txBox="1"/>
      </xdr:nvSpPr>
      <xdr:spPr>
        <a:xfrm>
          <a:off x="4110828" y="1855105"/>
          <a:ext cx="2341085" cy="629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7D4C42-B54C-4D1B-A929-874E9282AB73}" type="TxLink">
            <a:rPr lang="en-US" sz="3600" b="0" i="0" u="none" strike="noStrike">
              <a:solidFill>
                <a:srgbClr val="E8E8E7"/>
              </a:solidFill>
              <a:latin typeface="Segoe UI Semibold" panose="020B0702040204020203" pitchFamily="34" charset="0"/>
              <a:cs typeface="Segoe UI Semibold" panose="020B0702040204020203" pitchFamily="34" charset="0"/>
            </a:rPr>
            <a:pPr/>
            <a:t>₦93M</a:t>
          </a:fld>
          <a:endParaRPr lang="en-US" sz="36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268629</xdr:colOff>
      <xdr:row>10</xdr:row>
      <xdr:rowOff>40819</xdr:rowOff>
    </xdr:from>
    <xdr:to>
      <xdr:col>16</xdr:col>
      <xdr:colOff>178572</xdr:colOff>
      <xdr:row>13</xdr:row>
      <xdr:rowOff>126091</xdr:rowOff>
    </xdr:to>
    <xdr:sp macro="" textlink="FCV">
      <xdr:nvSpPr>
        <xdr:cNvPr id="28" name="TextBox 27">
          <a:extLst>
            <a:ext uri="{FF2B5EF4-FFF2-40B4-BE49-F238E27FC236}">
              <a16:creationId xmlns:a16="http://schemas.microsoft.com/office/drawing/2014/main" id="{56F8073A-3756-4FE6-8C49-C60A51EFF65B}"/>
            </a:ext>
          </a:extLst>
        </xdr:cNvPr>
        <xdr:cNvSpPr txBox="1"/>
      </xdr:nvSpPr>
      <xdr:spPr>
        <a:xfrm>
          <a:off x="7562058" y="1855105"/>
          <a:ext cx="2341085" cy="629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414572-019A-48D5-983B-AC4189561DF1}" type="TxLink">
            <a:rPr lang="en-US" sz="3600" b="0" i="0" u="none" strike="noStrike">
              <a:solidFill>
                <a:srgbClr val="E8E8E7"/>
              </a:solidFill>
              <a:latin typeface="Segoe UI Semibold" panose="020B0702040204020203" pitchFamily="34" charset="0"/>
              <a:cs typeface="Segoe UI Semibold" panose="020B0702040204020203" pitchFamily="34" charset="0"/>
            </a:rPr>
            <a:pPr/>
            <a:t>₦4M</a:t>
          </a:fld>
          <a:endParaRPr lang="en-US" sz="36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72917</xdr:colOff>
      <xdr:row>10</xdr:row>
      <xdr:rowOff>40819</xdr:rowOff>
    </xdr:from>
    <xdr:to>
      <xdr:col>21</xdr:col>
      <xdr:colOff>590645</xdr:colOff>
      <xdr:row>13</xdr:row>
      <xdr:rowOff>126091</xdr:rowOff>
    </xdr:to>
    <xdr:sp macro="" textlink="AVGC">
      <xdr:nvSpPr>
        <xdr:cNvPr id="29" name="TextBox 28">
          <a:extLst>
            <a:ext uri="{FF2B5EF4-FFF2-40B4-BE49-F238E27FC236}">
              <a16:creationId xmlns:a16="http://schemas.microsoft.com/office/drawing/2014/main" id="{06C08CD3-E3CC-4FB2-86DD-D8B07C4A4E2D}"/>
            </a:ext>
          </a:extLst>
        </xdr:cNvPr>
        <xdr:cNvSpPr txBox="1"/>
      </xdr:nvSpPr>
      <xdr:spPr>
        <a:xfrm>
          <a:off x="11013060" y="1855105"/>
          <a:ext cx="2341085" cy="629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2A26E3-7A38-4BC2-992B-4BF32C23633A}" type="TxLink">
            <a:rPr lang="en-US" sz="3600" b="0" i="0" u="none" strike="noStrike">
              <a:solidFill>
                <a:srgbClr val="E8E8E7"/>
              </a:solidFill>
              <a:latin typeface="Segoe UI Semibold" panose="020B0702040204020203" pitchFamily="34" charset="0"/>
              <a:cs typeface="Segoe UI Semibold" panose="020B0702040204020203" pitchFamily="34" charset="0"/>
            </a:rPr>
            <a:pPr/>
            <a:t>₦595</a:t>
          </a:fld>
          <a:endParaRPr lang="en-US" sz="3600">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515602</xdr:colOff>
      <xdr:row>10</xdr:row>
      <xdr:rowOff>40819</xdr:rowOff>
    </xdr:from>
    <xdr:to>
      <xdr:col>27</xdr:col>
      <xdr:colOff>425544</xdr:colOff>
      <xdr:row>13</xdr:row>
      <xdr:rowOff>126091</xdr:rowOff>
    </xdr:to>
    <xdr:sp macro="" textlink="OTD">
      <xdr:nvSpPr>
        <xdr:cNvPr id="31" name="TextBox 30">
          <a:extLst>
            <a:ext uri="{FF2B5EF4-FFF2-40B4-BE49-F238E27FC236}">
              <a16:creationId xmlns:a16="http://schemas.microsoft.com/office/drawing/2014/main" id="{EB38DB02-CB95-45EE-A73C-D590B1B9FABC}"/>
            </a:ext>
          </a:extLst>
        </xdr:cNvPr>
        <xdr:cNvSpPr txBox="1"/>
      </xdr:nvSpPr>
      <xdr:spPr>
        <a:xfrm>
          <a:off x="14494673" y="1855105"/>
          <a:ext cx="2341085" cy="629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121133-7B16-424F-8B7F-32CA54A3D2C8}" type="TxLink">
            <a:rPr lang="en-US" sz="3600" b="0" i="0" u="none" strike="noStrike">
              <a:solidFill>
                <a:srgbClr val="EF4444"/>
              </a:solidFill>
              <a:latin typeface="Segoe UI Semibold" panose="020B0702040204020203" pitchFamily="34" charset="0"/>
              <a:cs typeface="Segoe UI Semibold" panose="020B0702040204020203" pitchFamily="34" charset="0"/>
            </a:rPr>
            <a:pPr/>
            <a:t>40%</a:t>
          </a:fld>
          <a:endParaRPr lang="en-US" sz="3600" b="0" i="0" u="none" strike="noStrike">
            <a:solidFill>
              <a:srgbClr val="EF4444"/>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312423</xdr:colOff>
      <xdr:row>14</xdr:row>
      <xdr:rowOff>27213</xdr:rowOff>
    </xdr:from>
    <xdr:to>
      <xdr:col>11</xdr:col>
      <xdr:colOff>218307</xdr:colOff>
      <xdr:row>17</xdr:row>
      <xdr:rowOff>75066</xdr:rowOff>
    </xdr:to>
    <xdr:graphicFrame macro="">
      <xdr:nvGraphicFramePr>
        <xdr:cNvPr id="30" name="Chart 29">
          <a:extLst>
            <a:ext uri="{FF2B5EF4-FFF2-40B4-BE49-F238E27FC236}">
              <a16:creationId xmlns:a16="http://schemas.microsoft.com/office/drawing/2014/main" id="{BAE7911C-222B-4F68-BBA4-29702F387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223629</xdr:colOff>
      <xdr:row>13</xdr:row>
      <xdr:rowOff>9073</xdr:rowOff>
    </xdr:from>
    <xdr:to>
      <xdr:col>17</xdr:col>
      <xdr:colOff>145143</xdr:colOff>
      <xdr:row>18</xdr:row>
      <xdr:rowOff>126999</xdr:rowOff>
    </xdr:to>
    <xdr:graphicFrame macro="">
      <xdr:nvGraphicFramePr>
        <xdr:cNvPr id="32" name="Chart 31">
          <a:extLst>
            <a:ext uri="{FF2B5EF4-FFF2-40B4-BE49-F238E27FC236}">
              <a16:creationId xmlns:a16="http://schemas.microsoft.com/office/drawing/2014/main" id="{B6224610-1861-48C7-A3EC-4394F7758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235857</xdr:colOff>
      <xdr:row>13</xdr:row>
      <xdr:rowOff>108858</xdr:rowOff>
    </xdr:from>
    <xdr:to>
      <xdr:col>23</xdr:col>
      <xdr:colOff>137106</xdr:colOff>
      <xdr:row>18</xdr:row>
      <xdr:rowOff>1</xdr:rowOff>
    </xdr:to>
    <xdr:graphicFrame macro="">
      <xdr:nvGraphicFramePr>
        <xdr:cNvPr id="33" name="Chart 32">
          <a:extLst>
            <a:ext uri="{FF2B5EF4-FFF2-40B4-BE49-F238E27FC236}">
              <a16:creationId xmlns:a16="http://schemas.microsoft.com/office/drawing/2014/main" id="{445C3B97-5ED1-4588-B725-40D65E962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263071</xdr:colOff>
      <xdr:row>10</xdr:row>
      <xdr:rowOff>136072</xdr:rowOff>
    </xdr:from>
    <xdr:to>
      <xdr:col>28</xdr:col>
      <xdr:colOff>281213</xdr:colOff>
      <xdr:row>18</xdr:row>
      <xdr:rowOff>122804</xdr:rowOff>
    </xdr:to>
    <xdr:graphicFrame macro="">
      <xdr:nvGraphicFramePr>
        <xdr:cNvPr id="34" name="Chart 33">
          <a:extLst>
            <a:ext uri="{FF2B5EF4-FFF2-40B4-BE49-F238E27FC236}">
              <a16:creationId xmlns:a16="http://schemas.microsoft.com/office/drawing/2014/main" id="{6624E2C6-1982-4319-ACE2-954886507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172357</xdr:colOff>
      <xdr:row>20</xdr:row>
      <xdr:rowOff>136072</xdr:rowOff>
    </xdr:from>
    <xdr:to>
      <xdr:col>13</xdr:col>
      <xdr:colOff>489857</xdr:colOff>
      <xdr:row>34</xdr:row>
      <xdr:rowOff>58058</xdr:rowOff>
    </xdr:to>
    <xdr:graphicFrame macro="">
      <xdr:nvGraphicFramePr>
        <xdr:cNvPr id="35" name="Chart 34">
          <a:extLst>
            <a:ext uri="{FF2B5EF4-FFF2-40B4-BE49-F238E27FC236}">
              <a16:creationId xmlns:a16="http://schemas.microsoft.com/office/drawing/2014/main" id="{CC2B1316-8051-43E6-A9C9-3756F7B2C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258210</xdr:colOff>
      <xdr:row>19</xdr:row>
      <xdr:rowOff>72571</xdr:rowOff>
    </xdr:from>
    <xdr:to>
      <xdr:col>28</xdr:col>
      <xdr:colOff>408214</xdr:colOff>
      <xdr:row>33</xdr:row>
      <xdr:rowOff>145142</xdr:rowOff>
    </xdr:to>
    <xdr:graphicFrame macro="">
      <xdr:nvGraphicFramePr>
        <xdr:cNvPr id="36" name="Chart 35">
          <a:extLst>
            <a:ext uri="{FF2B5EF4-FFF2-40B4-BE49-F238E27FC236}">
              <a16:creationId xmlns:a16="http://schemas.microsoft.com/office/drawing/2014/main" id="{3E8CE240-B455-4E0E-879D-7FE428B27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767</xdr:colOff>
      <xdr:row>35</xdr:row>
      <xdr:rowOff>45357</xdr:rowOff>
    </xdr:from>
    <xdr:to>
      <xdr:col>14</xdr:col>
      <xdr:colOff>18143</xdr:colOff>
      <xdr:row>46</xdr:row>
      <xdr:rowOff>36287</xdr:rowOff>
    </xdr:to>
    <xdr:graphicFrame macro="">
      <xdr:nvGraphicFramePr>
        <xdr:cNvPr id="37" name="Chart 36">
          <a:extLst>
            <a:ext uri="{FF2B5EF4-FFF2-40B4-BE49-F238E27FC236}">
              <a16:creationId xmlns:a16="http://schemas.microsoft.com/office/drawing/2014/main" id="{8C0FD3FB-111C-4C58-BE47-13F84AA7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405768</xdr:colOff>
      <xdr:row>35</xdr:row>
      <xdr:rowOff>166007</xdr:rowOff>
    </xdr:from>
    <xdr:to>
      <xdr:col>19</xdr:col>
      <xdr:colOff>541840</xdr:colOff>
      <xdr:row>44</xdr:row>
      <xdr:rowOff>162718</xdr:rowOff>
    </xdr:to>
    <xdr:graphicFrame macro="">
      <xdr:nvGraphicFramePr>
        <xdr:cNvPr id="38" name="Chart 37">
          <a:extLst>
            <a:ext uri="{FF2B5EF4-FFF2-40B4-BE49-F238E27FC236}">
              <a16:creationId xmlns:a16="http://schemas.microsoft.com/office/drawing/2014/main" id="{88BBC50D-DF77-4CE2-BEC1-43722D362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518603</xdr:colOff>
      <xdr:row>40</xdr:row>
      <xdr:rowOff>141514</xdr:rowOff>
    </xdr:from>
    <xdr:to>
      <xdr:col>17</xdr:col>
      <xdr:colOff>208644</xdr:colOff>
      <xdr:row>42</xdr:row>
      <xdr:rowOff>45357</xdr:rowOff>
    </xdr:to>
    <xdr:sp macro="" textlink="">
      <xdr:nvSpPr>
        <xdr:cNvPr id="39" name="TextBox 38">
          <a:extLst>
            <a:ext uri="{FF2B5EF4-FFF2-40B4-BE49-F238E27FC236}">
              <a16:creationId xmlns:a16="http://schemas.microsoft.com/office/drawing/2014/main" id="{3369E606-A605-4A36-AB1E-F04C142C9FA3}"/>
            </a:ext>
          </a:extLst>
        </xdr:cNvPr>
        <xdr:cNvSpPr txBox="1"/>
      </xdr:nvSpPr>
      <xdr:spPr>
        <a:xfrm>
          <a:off x="9635389" y="7398657"/>
          <a:ext cx="9056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F4444"/>
              </a:solidFill>
              <a:latin typeface="Segoe UI Semibold" panose="020B0702040204020203" pitchFamily="34" charset="0"/>
              <a:cs typeface="Segoe UI Semibold" panose="020B0702040204020203" pitchFamily="34" charset="0"/>
            </a:rPr>
            <a:t>Delayed</a:t>
          </a:r>
        </a:p>
      </xdr:txBody>
    </xdr:sp>
    <xdr:clientData/>
  </xdr:twoCellAnchor>
  <xdr:twoCellAnchor>
    <xdr:from>
      <xdr:col>20</xdr:col>
      <xdr:colOff>605658</xdr:colOff>
      <xdr:row>34</xdr:row>
      <xdr:rowOff>172358</xdr:rowOff>
    </xdr:from>
    <xdr:to>
      <xdr:col>29</xdr:col>
      <xdr:colOff>239426</xdr:colOff>
      <xdr:row>47</xdr:row>
      <xdr:rowOff>127000</xdr:rowOff>
    </xdr:to>
    <xdr:graphicFrame macro="">
      <xdr:nvGraphicFramePr>
        <xdr:cNvPr id="41" name="Chart 40">
          <a:extLst>
            <a:ext uri="{FF2B5EF4-FFF2-40B4-BE49-F238E27FC236}">
              <a16:creationId xmlns:a16="http://schemas.microsoft.com/office/drawing/2014/main" id="{CEA6F297-DB55-4F7D-B2DC-8CD0112A3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455404</xdr:colOff>
      <xdr:row>14</xdr:row>
      <xdr:rowOff>63499</xdr:rowOff>
    </xdr:from>
    <xdr:to>
      <xdr:col>5</xdr:col>
      <xdr:colOff>457142</xdr:colOff>
      <xdr:row>17</xdr:row>
      <xdr:rowOff>128737</xdr:rowOff>
    </xdr:to>
    <xdr:pic>
      <xdr:nvPicPr>
        <xdr:cNvPr id="25" name="Picture 24">
          <a:hlinkClick xmlns:r="http://schemas.openxmlformats.org/officeDocument/2006/relationships" r:id="rId10"/>
          <a:extLst>
            <a:ext uri="{FF2B5EF4-FFF2-40B4-BE49-F238E27FC236}">
              <a16:creationId xmlns:a16="http://schemas.microsoft.com/office/drawing/2014/main" id="{73473E13-60E6-4B00-A0D4-F144CAE3F4A6}"/>
            </a:ext>
          </a:extLst>
        </xdr:cNvPr>
        <xdr:cNvPicPr>
          <a:picLocks noChangeAspect="1"/>
        </xdr:cNvPicPr>
      </xdr:nvPicPr>
      <xdr:blipFill>
        <a:blip xmlns:r="http://schemas.openxmlformats.org/officeDocument/2006/relationships" r:embed="rId11">
          <a:alphaModFix amt="70000"/>
          <a:extLst>
            <a:ext uri="{28A0092B-C50C-407E-A947-70E740481C1C}">
              <a14:useLocalDpi xmlns:a14="http://schemas.microsoft.com/office/drawing/2010/main" val="0"/>
            </a:ext>
          </a:extLst>
        </a:blip>
        <a:stretch>
          <a:fillRect/>
        </a:stretch>
      </xdr:blipFill>
      <xdr:spPr>
        <a:xfrm>
          <a:off x="2886547" y="2603499"/>
          <a:ext cx="609524" cy="609524"/>
        </a:xfrm>
        <a:prstGeom prst="rect">
          <a:avLst/>
        </a:prstGeom>
      </xdr:spPr>
    </xdr:pic>
    <xdr:clientData/>
  </xdr:twoCellAnchor>
  <xdr:twoCellAnchor editAs="oneCell">
    <xdr:from>
      <xdr:col>4</xdr:col>
      <xdr:colOff>455404</xdr:colOff>
      <xdr:row>19</xdr:row>
      <xdr:rowOff>140930</xdr:rowOff>
    </xdr:from>
    <xdr:to>
      <xdr:col>5</xdr:col>
      <xdr:colOff>457142</xdr:colOff>
      <xdr:row>23</xdr:row>
      <xdr:rowOff>24740</xdr:rowOff>
    </xdr:to>
    <xdr:pic>
      <xdr:nvPicPr>
        <xdr:cNvPr id="43" name="Picture 42">
          <a:hlinkClick xmlns:r="http://schemas.openxmlformats.org/officeDocument/2006/relationships" r:id="rId12"/>
          <a:extLst>
            <a:ext uri="{FF2B5EF4-FFF2-40B4-BE49-F238E27FC236}">
              <a16:creationId xmlns:a16="http://schemas.microsoft.com/office/drawing/2014/main" id="{48F08A3D-525B-42CB-8248-FD0DBCBCD1EF}"/>
            </a:ext>
          </a:extLst>
        </xdr:cNvPr>
        <xdr:cNvPicPr>
          <a:picLocks noChangeAspect="1"/>
        </xdr:cNvPicPr>
      </xdr:nvPicPr>
      <xdr:blipFill>
        <a:blip xmlns:r="http://schemas.openxmlformats.org/officeDocument/2006/relationships" r:embed="rId13">
          <a:alphaModFix amt="70000"/>
          <a:extLst>
            <a:ext uri="{28A0092B-C50C-407E-A947-70E740481C1C}">
              <a14:useLocalDpi xmlns:a14="http://schemas.microsoft.com/office/drawing/2010/main" val="0"/>
            </a:ext>
          </a:extLst>
        </a:blip>
        <a:stretch>
          <a:fillRect/>
        </a:stretch>
      </xdr:blipFill>
      <xdr:spPr>
        <a:xfrm>
          <a:off x="2886547" y="3588073"/>
          <a:ext cx="609524" cy="609524"/>
        </a:xfrm>
        <a:prstGeom prst="rect">
          <a:avLst/>
        </a:prstGeom>
      </xdr:spPr>
    </xdr:pic>
    <xdr:clientData/>
  </xdr:twoCellAnchor>
  <xdr:twoCellAnchor editAs="oneCell">
    <xdr:from>
      <xdr:col>4</xdr:col>
      <xdr:colOff>455404</xdr:colOff>
      <xdr:row>26</xdr:row>
      <xdr:rowOff>18142</xdr:rowOff>
    </xdr:from>
    <xdr:to>
      <xdr:col>5</xdr:col>
      <xdr:colOff>457142</xdr:colOff>
      <xdr:row>29</xdr:row>
      <xdr:rowOff>83380</xdr:rowOff>
    </xdr:to>
    <xdr:pic>
      <xdr:nvPicPr>
        <xdr:cNvPr id="45" name="Picture 44">
          <a:hlinkClick xmlns:r="http://schemas.openxmlformats.org/officeDocument/2006/relationships" r:id="rId14"/>
          <a:extLst>
            <a:ext uri="{FF2B5EF4-FFF2-40B4-BE49-F238E27FC236}">
              <a16:creationId xmlns:a16="http://schemas.microsoft.com/office/drawing/2014/main" id="{03540CBB-6484-4732-9295-04F5584D9C9A}"/>
            </a:ext>
          </a:extLst>
        </xdr:cNvPr>
        <xdr:cNvPicPr>
          <a:picLocks noChangeAspect="1"/>
        </xdr:cNvPicPr>
      </xdr:nvPicPr>
      <xdr:blipFill>
        <a:blip xmlns:r="http://schemas.openxmlformats.org/officeDocument/2006/relationships" r:embed="rId15">
          <a:alphaModFix amt="70000"/>
          <a:extLst>
            <a:ext uri="{28A0092B-C50C-407E-A947-70E740481C1C}">
              <a14:useLocalDpi xmlns:a14="http://schemas.microsoft.com/office/drawing/2010/main" val="0"/>
            </a:ext>
          </a:extLst>
        </a:blip>
        <a:stretch>
          <a:fillRect/>
        </a:stretch>
      </xdr:blipFill>
      <xdr:spPr>
        <a:xfrm>
          <a:off x="2886547" y="4735285"/>
          <a:ext cx="609524" cy="609524"/>
        </a:xfrm>
        <a:prstGeom prst="rect">
          <a:avLst/>
        </a:prstGeom>
      </xdr:spPr>
    </xdr:pic>
    <xdr:clientData/>
  </xdr:twoCellAnchor>
  <xdr:twoCellAnchor editAs="oneCell">
    <xdr:from>
      <xdr:col>4</xdr:col>
      <xdr:colOff>338345</xdr:colOff>
      <xdr:row>40</xdr:row>
      <xdr:rowOff>0</xdr:rowOff>
    </xdr:from>
    <xdr:to>
      <xdr:col>5</xdr:col>
      <xdr:colOff>574202</xdr:colOff>
      <xdr:row>44</xdr:row>
      <xdr:rowOff>114300</xdr:rowOff>
    </xdr:to>
    <xdr:pic>
      <xdr:nvPicPr>
        <xdr:cNvPr id="48" name="Picture 47">
          <a:hlinkClick xmlns:r="http://schemas.openxmlformats.org/officeDocument/2006/relationships" r:id="rId16"/>
          <a:extLst>
            <a:ext uri="{FF2B5EF4-FFF2-40B4-BE49-F238E27FC236}">
              <a16:creationId xmlns:a16="http://schemas.microsoft.com/office/drawing/2014/main" id="{60E0F565-955E-45A6-B16E-54B72CF22864}"/>
            </a:ext>
          </a:extLst>
        </xdr:cNvPr>
        <xdr:cNvPicPr>
          <a:picLocks noChangeAspect="1"/>
        </xdr:cNvPicPr>
      </xdr:nvPicPr>
      <xdr:blipFill>
        <a:blip xmlns:r="http://schemas.openxmlformats.org/officeDocument/2006/relationships" r:embed="rId17">
          <a:alphaModFix amt="70000"/>
          <a:lum bright="70000" contrast="-70000"/>
        </a:blip>
        <a:stretch>
          <a:fillRect/>
        </a:stretch>
      </xdr:blipFill>
      <xdr:spPr>
        <a:xfrm>
          <a:off x="2769488" y="7257143"/>
          <a:ext cx="843643" cy="840014"/>
        </a:xfrm>
        <a:prstGeom prst="rect">
          <a:avLst/>
        </a:prstGeom>
      </xdr:spPr>
    </xdr:pic>
    <xdr:clientData/>
  </xdr:twoCellAnchor>
  <xdr:twoCellAnchor editAs="oneCell">
    <xdr:from>
      <xdr:col>4</xdr:col>
      <xdr:colOff>338345</xdr:colOff>
      <xdr:row>6</xdr:row>
      <xdr:rowOff>54429</xdr:rowOff>
    </xdr:from>
    <xdr:to>
      <xdr:col>5</xdr:col>
      <xdr:colOff>574201</xdr:colOff>
      <xdr:row>10</xdr:row>
      <xdr:rowOff>127000</xdr:rowOff>
    </xdr:to>
    <xdr:pic>
      <xdr:nvPicPr>
        <xdr:cNvPr id="50" name="Picture 49">
          <a:extLst>
            <a:ext uri="{FF2B5EF4-FFF2-40B4-BE49-F238E27FC236}">
              <a16:creationId xmlns:a16="http://schemas.microsoft.com/office/drawing/2014/main" id="{CDD91E22-5775-4086-9B07-2747E360E08B}"/>
            </a:ext>
          </a:extLst>
        </xdr:cNvPr>
        <xdr:cNvPicPr>
          <a:picLocks noChangeAspect="1"/>
        </xdr:cNvPicPr>
      </xdr:nvPicPr>
      <xdr:blipFill>
        <a:blip xmlns:r="http://schemas.openxmlformats.org/officeDocument/2006/relationships" r:embed="rId18">
          <a:lum bright="70000" contrast="-70000"/>
          <a:alphaModFix amt="70000"/>
        </a:blip>
        <a:stretch>
          <a:fillRect/>
        </a:stretch>
      </xdr:blipFill>
      <xdr:spPr>
        <a:xfrm>
          <a:off x="2769488" y="1143000"/>
          <a:ext cx="843642" cy="798286"/>
        </a:xfrm>
        <a:prstGeom prst="rect">
          <a:avLst/>
        </a:prstGeom>
      </xdr:spPr>
    </xdr:pic>
    <xdr:clientData/>
  </xdr:twoCellAnchor>
  <xdr:twoCellAnchor editAs="oneCell">
    <xdr:from>
      <xdr:col>17</xdr:col>
      <xdr:colOff>151495</xdr:colOff>
      <xdr:row>5</xdr:row>
      <xdr:rowOff>86178</xdr:rowOff>
    </xdr:from>
    <xdr:to>
      <xdr:col>28</xdr:col>
      <xdr:colOff>395290</xdr:colOff>
      <xdr:row>8</xdr:row>
      <xdr:rowOff>40366</xdr:rowOff>
    </xdr:to>
    <mc:AlternateContent xmlns:mc="http://schemas.openxmlformats.org/markup-compatibility/2006" xmlns:a14="http://schemas.microsoft.com/office/drawing/2010/main">
      <mc:Choice Requires="a14">
        <xdr:graphicFrame macro="">
          <xdr:nvGraphicFramePr>
            <xdr:cNvPr id="51" name="Origin 1">
              <a:extLst>
                <a:ext uri="{FF2B5EF4-FFF2-40B4-BE49-F238E27FC236}">
                  <a16:creationId xmlns:a16="http://schemas.microsoft.com/office/drawing/2014/main" id="{7DD79B1B-39C0-4CF6-A1E2-8C8CED8A88C2}"/>
                </a:ext>
              </a:extLst>
            </xdr:cNvPr>
            <xdr:cNvGraphicFramePr/>
          </xdr:nvGraphicFramePr>
          <xdr:xfrm>
            <a:off x="0" y="0"/>
            <a:ext cx="0" cy="0"/>
          </xdr:xfrm>
          <a:graphic>
            <a:graphicData uri="http://schemas.microsoft.com/office/drawing/2010/slicer">
              <sle:slicer xmlns:sle="http://schemas.microsoft.com/office/drawing/2010/slicer" name="Origin 1"/>
            </a:graphicData>
          </a:graphic>
        </xdr:graphicFrame>
      </mc:Choice>
      <mc:Fallback xmlns="">
        <xdr:sp macro="" textlink="">
          <xdr:nvSpPr>
            <xdr:cNvPr id="0" name=""/>
            <xdr:cNvSpPr>
              <a:spLocks noTextEdit="1"/>
            </xdr:cNvSpPr>
          </xdr:nvSpPr>
          <xdr:spPr>
            <a:xfrm>
              <a:off x="10483852" y="993321"/>
              <a:ext cx="6929438" cy="498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129765</xdr:colOff>
      <xdr:row>6</xdr:row>
      <xdr:rowOff>170543</xdr:rowOff>
    </xdr:from>
    <xdr:to>
      <xdr:col>17</xdr:col>
      <xdr:colOff>127000</xdr:colOff>
      <xdr:row>9</xdr:row>
      <xdr:rowOff>25400</xdr:rowOff>
    </xdr:to>
    <xdr:sp macro="" textlink="">
      <xdr:nvSpPr>
        <xdr:cNvPr id="52" name="TextBox 51">
          <a:extLst>
            <a:ext uri="{FF2B5EF4-FFF2-40B4-BE49-F238E27FC236}">
              <a16:creationId xmlns:a16="http://schemas.microsoft.com/office/drawing/2014/main" id="{5800A60C-210C-4CF5-9960-DA8970FC162C}"/>
            </a:ext>
          </a:extLst>
        </xdr:cNvPr>
        <xdr:cNvSpPr txBox="1"/>
      </xdr:nvSpPr>
      <xdr:spPr>
        <a:xfrm>
          <a:off x="3776479" y="1259114"/>
          <a:ext cx="6682878"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rPr>
            <a:t>This dashboard provides real-time visibility into freight costs and logistics performance across cities.</a:t>
          </a:r>
          <a:endParaRPr lang="en-US" sz="1200" b="1">
            <a:solidFill>
              <a:srgbClr val="E8E8E7"/>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250935</xdr:colOff>
      <xdr:row>35</xdr:row>
      <xdr:rowOff>156384</xdr:rowOff>
    </xdr:from>
    <xdr:to>
      <xdr:col>32</xdr:col>
      <xdr:colOff>248171</xdr:colOff>
      <xdr:row>38</xdr:row>
      <xdr:rowOff>11241</xdr:rowOff>
    </xdr:to>
    <xdr:sp macro="" textlink="">
      <xdr:nvSpPr>
        <xdr:cNvPr id="44" name="TextBox 43">
          <a:extLst>
            <a:ext uri="{FF2B5EF4-FFF2-40B4-BE49-F238E27FC236}">
              <a16:creationId xmlns:a16="http://schemas.microsoft.com/office/drawing/2014/main" id="{947822CB-6CC9-46F5-B637-26ACD3C51310}"/>
            </a:ext>
          </a:extLst>
        </xdr:cNvPr>
        <xdr:cNvSpPr txBox="1"/>
      </xdr:nvSpPr>
      <xdr:spPr>
        <a:xfrm>
          <a:off x="13148722" y="6714581"/>
          <a:ext cx="6753219" cy="416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8E8E7"/>
              </a:solidFill>
            </a:rPr>
            <a:t>This shows freight costs by origin city, identifying our busiest shipping locations.</a:t>
          </a:r>
          <a:endParaRPr lang="en-US" sz="1200" b="1">
            <a:solidFill>
              <a:srgbClr val="E8E8E7"/>
            </a:solidFill>
            <a:latin typeface="Segoe UI Semibold" panose="020B0702040204020203" pitchFamily="34" charset="0"/>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2083337" backgroundQuery="1" createdVersion="7" refreshedVersion="7" minRefreshableVersion="3" recordCount="0" supportSubquery="1" supportAdvancedDrill="1" xr:uid="{4AA5216D-F9CF-42F2-96A3-BCA5F5697A76}">
  <cacheSource type="external" connectionId="1"/>
  <cacheFields count="4">
    <cacheField name="[Table1].[Destination].[Destination]" caption="Destination" numFmtId="0" hierarchy="3" level="1">
      <sharedItems count="8">
        <s v="Abuja"/>
        <s v="Accra"/>
        <s v="Kumasi"/>
        <s v="Lagos"/>
        <s v="Mombasa"/>
        <s v="Nairobi"/>
        <s v="Port Harcourt"/>
        <s v="Takoradi"/>
      </sharedItems>
    </cacheField>
    <cacheField name="[Measures].[Sum of Actual_Cost]" caption="Sum of Actual_Cost" numFmtId="0" hierarchy="20" level="32767"/>
    <cacheField name="[Measures].[Sum of Planned_Cost]" caption="Sum of Planned_Cost" numFmtId="0" hierarchy="21" level="32767"/>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3"/>
      </fieldsUsage>
    </cacheHierarchy>
    <cacheHierarchy uniqueName="[Table1].[Destination]" caption="Destination" attribute="1" defaultMemberUniqueName="[Table1].[Destination].[All]" allUniqueName="[Table1].[Destination].[All]" dimensionUniqueName="[Table1]" displayFolder="" count="2" memberValueDatatype="130" unbalanced="0">
      <fieldsUsage count="2">
        <fieldUsage x="-1"/>
        <fieldUsage x="0"/>
      </fieldsUsage>
    </cacheHierarchy>
    <cacheHierarchy uniqueName="[Table1].[Distance_KM]" caption="Distance_KM" attribute="1" defaultMemberUniqueName="[Table1].[Distance_KM].[All]" allUniqueName="[Table1].[Distance_KM].[All]" dimensionUniqueName="[Table1]" displayFolder="" count="2" memberValueDatatype="20" unbalanced="0"/>
    <cacheHierarchy uniqueName="[Table1].[Carrier]" caption="Carrier" attribute="1" defaultMemberUniqueName="[Table1].[Carrier].[All]" allUniqueName="[Table1].[Carrier].[All]" dimensionUniqueName="[Table1]" displayFolder="" count="2" memberValueDatatype="130" unbalanced="0"/>
    <cacheHierarchy uniqueName="[Table1].[Mode]" caption="Mode" attribute="1" defaultMemberUniqueName="[Table1].[Mode].[All]" allUniqueName="[Table1].[Mode].[All]" dimensionUniqueName="[Table1]" displayFolder="" count="2" memberValueDatatype="130" unbalanced="0"/>
    <cacheHierarchy uniqueName="[Table1].[Planned_Cost]" caption="Planned_Cost" attribute="1" defaultMemberUniqueName="[Table1].[Planned_Cost].[All]" allUniqueName="[Table1].[Planned_Cost].[All]" dimensionUniqueName="[Table1]" displayFolder="" count="2" memberValueDatatype="20" unbalanced="0"/>
    <cacheHierarchy uniqueName="[Table1].[Actual_Cost]" caption="Actual_Cost" attribute="1" defaultMemberUniqueName="[Table1].[Actual_Cost].[All]" allUniqueName="[Table1].[Actual_Cost].[All]" dimensionUniqueName="[Table1]" displayFolder="" count="2"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ivery_Days]" caption="Delivery_Days" attribute="1" defaultMemberUniqueName="[Table1].[Delivery_Days].[All]" allUniqueName="[Table1].[Delivery_Days].[All]" dimensionUniqueName="[Table1]" displayFolder="" count="2"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2662037" backgroundQuery="1" createdVersion="7" refreshedVersion="7" minRefreshableVersion="3" recordCount="0" supportSubquery="1" supportAdvancedDrill="1" xr:uid="{DA216A55-9279-4F1C-906F-997004F6AA68}">
  <cacheSource type="external" connectionId="1"/>
  <cacheFields count="8">
    <cacheField name="[Measures].[TOTAL FREIGHT COST]" caption="TOTAL FREIGHT COST" numFmtId="0" hierarchy="11" level="32767"/>
    <cacheField name="[Measures].[FREIGHT COST VARIANCE]" caption="FREIGHT COST VARIANCE" numFmtId="0" hierarchy="12" level="32767"/>
    <cacheField name="[Measures].[AVG COST per KM]" caption="AVG COST per KM" numFmtId="0" hierarchy="13" level="32767"/>
    <cacheField name="[Measures].[TOTAL SHIPMENT]" caption="TOTAL SHIPMENT" numFmtId="0" hierarchy="14" level="32767"/>
    <cacheField name="[Measures].[DELAYED COUNT]" caption="DELAYED COUNT" numFmtId="0" hierarchy="15" level="32767"/>
    <cacheField name="[Measures].[ON-TIME DELIVERY %]" caption="ON-TIME DELIVERY %" numFmtId="0" hierarchy="16" level="32767"/>
    <cacheField name="[Measures].[DELAYED %]" caption="DELAYED %" numFmtId="0" hierarchy="17" level="32767"/>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7"/>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oneField="1">
      <fieldsUsage count="1">
        <fieldUsage x="2"/>
      </fieldsUsage>
    </cacheHierarchy>
    <cacheHierarchy uniqueName="[Measures].[TOTAL SHIPMENT]" caption="TOTAL SHIPMENT" measure="1" displayFolder="" measureGroup="Table1" count="0" oneField="1">
      <fieldsUsage count="1">
        <fieldUsage x="3"/>
      </fieldsUsage>
    </cacheHierarchy>
    <cacheHierarchy uniqueName="[Measures].[DELAYED COUNT]" caption="DELAYED COUNT" measure="1" displayFolder="" measureGroup="Table1" count="0" oneField="1">
      <fieldsUsage count="1">
        <fieldUsage x="4"/>
      </fieldsUsage>
    </cacheHierarchy>
    <cacheHierarchy uniqueName="[Measures].[ON-TIME DELIVERY %]" caption="ON-TIME DELIVERY %" measure="1" displayFolder="" measureGroup="Table1" count="0" oneField="1">
      <fieldsUsage count="1">
        <fieldUsage x="5"/>
      </fieldsUsage>
    </cacheHierarchy>
    <cacheHierarchy uniqueName="[Measures].[DELAYED %]" caption="DELAYED %" measure="1" displayFolder="" measureGroup="Table1" count="0" oneField="1">
      <fieldsUsage count="1">
        <fieldUsage x="6"/>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3240738" backgroundQuery="1" createdVersion="7" refreshedVersion="7" minRefreshableVersion="3" recordCount="0" supportSubquery="1" supportAdvancedDrill="1" xr:uid="{D18DDA52-53E9-44F0-8F42-DB4D1FC8C725}">
  <cacheSource type="external" connectionId="1"/>
  <cacheFields count="3">
    <cacheField name="[Measures].[AVG COST per KM]" caption="AVG COST per KM" numFmtId="0" hierarchy="13" level="32767"/>
    <cacheField name="[Measures].[Max of Distance_KM]" caption="Max of Distance_KM" numFmtId="0" hierarchy="23" level="32767"/>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oneField="1">
      <fieldsUsage count="1">
        <fieldUsage x="0"/>
      </fieldsUsage>
    </cacheHierarchy>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3703707" backgroundQuery="1" createdVersion="7" refreshedVersion="7" minRefreshableVersion="3" recordCount="0" supportSubquery="1" supportAdvancedDrill="1" xr:uid="{D6202D5E-A0EA-467B-87E2-F0DA387EA40F}">
  <cacheSource type="external" connectionId="1"/>
  <cacheFields count="3">
    <cacheField name="[Measures].[ON-TIME DELIVERY %]" caption="ON-TIME DELIVERY %" numFmtId="0" hierarchy="16" level="32767"/>
    <cacheField name="[Measures].[DELAYED %]" caption="DELAYED %" numFmtId="0" hierarchy="17" level="32767"/>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oneField="1">
      <fieldsUsage count="1">
        <fieldUsage x="0"/>
      </fieldsUsage>
    </cacheHierarchy>
    <cacheHierarchy uniqueName="[Measures].[DELAYED %]" caption="DELAYED %"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4282408" backgroundQuery="1" createdVersion="7" refreshedVersion="7" minRefreshableVersion="3" recordCount="0" supportSubquery="1" supportAdvancedDrill="1" xr:uid="{A2E2377B-0660-42A0-9F72-1898F2835A14}">
  <cacheSource type="external" connectionId="1"/>
  <cacheFields count="3">
    <cacheField name="[Measures].[TOTAL FREIGHT COST]" caption="TOTAL FREIGHT COST" numFmtId="0" hierarchy="11" level="32767"/>
    <cacheField name="[Table1].[Carrier].[Carrier]" caption="Carrier" numFmtId="0" hierarchy="5" level="1">
      <sharedItems count="6">
        <s v="Aramex"/>
        <s v="DHL"/>
        <s v="FedEx"/>
        <s v="GIG Logistics"/>
        <s v="TransLink"/>
        <s v="UPS"/>
      </sharedItems>
    </cacheField>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1"/>
      </fieldsUsage>
    </cacheHierarchy>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4861108" backgroundQuery="1" createdVersion="7" refreshedVersion="7" minRefreshableVersion="3" recordCount="0" supportSubquery="1" supportAdvancedDrill="1" xr:uid="{A193DE09-94B9-4121-A77F-249771BF9A02}">
  <cacheSource type="external" connectionId="1"/>
  <cacheFields count="3">
    <cacheField name="[Measures].[TOTAL FREIGHT COST]" caption="TOTAL FREIGHT COST" numFmtId="0" hierarchy="11" level="32767"/>
    <cacheField name="[Table1].[Mode].[Mode]" caption="Mode" numFmtId="0" hierarchy="6" level="1">
      <sharedItems count="2">
        <s v="Air"/>
        <s v="Road"/>
      </sharedItems>
    </cacheField>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2" memberValueDatatype="130" unbalanced="0">
      <fieldsUsage count="2">
        <fieldUsage x="-1"/>
        <fieldUsage x="1"/>
      </fieldsUsage>
    </cacheHierarchy>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5208331" backgroundQuery="1" createdVersion="7" refreshedVersion="7" minRefreshableVersion="3" recordCount="0" supportSubquery="1" supportAdvancedDrill="1" xr:uid="{59EF599F-0275-47A4-856F-D32376D08D8C}">
  <cacheSource type="external" connectionId="1"/>
  <cacheFields count="2">
    <cacheField name="[Measures].[TOTAL FREIGHT COST]" caption="TOTAL FREIGHT COST" numFmtId="0" hierarchy="11" level="32767"/>
    <cacheField name="[Table1].[Origin].[Origin]" caption="Origin" numFmtId="0" hierarchy="2" level="1">
      <sharedItems count="8">
        <s v="Abuja"/>
        <s v="Accra"/>
        <s v="Kumasi"/>
        <s v="Lagos"/>
        <s v="Mombasa"/>
        <s v="Nairobi"/>
        <s v="Port Harcourt"/>
        <s v="Takoradi"/>
      </sharedItems>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1"/>
      </fieldsUsage>
    </cacheHierarchy>
    <cacheHierarchy uniqueName="[Table1].[Destination]" caption="Destination" attribute="1" defaultMemberUniqueName="[Table1].[Destination].[All]" allUniqueName="[Table1].[Destination].[All]" dimensionUniqueName="[Table1]" displayFolder="" count="2"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5787039" backgroundQuery="1" createdVersion="7" refreshedVersion="7" minRefreshableVersion="3" recordCount="0" supportSubquery="1" supportAdvancedDrill="1" xr:uid="{B89622F9-1078-4F1C-AA6F-3393F28FA608}">
  <cacheSource type="external" connectionId="1"/>
  <cacheFields count="3">
    <cacheField name="[Measures].[TOTAL FREIGHT COST]" caption="TOTAL FREIGHT COST" numFmtId="0" hierarchy="11" level="32767"/>
    <cacheField name="[Table1].[Delivery_Status].[Delivery_Status]" caption="Delivery_Status" numFmtId="0" hierarchy="9" level="1">
      <sharedItems count="2">
        <s v="Delayed"/>
        <s v="On-Time"/>
      </sharedItems>
    </cacheField>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fieldsUsage count="2">
        <fieldUsage x="-1"/>
        <fieldUsage x="1"/>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636574" backgroundQuery="1" createdVersion="7" refreshedVersion="7" minRefreshableVersion="3" recordCount="0" supportSubquery="1" supportAdvancedDrill="1" xr:uid="{76F405EA-9FB5-4836-B43F-94A69B7293F5}">
  <cacheSource type="external" connectionId="1"/>
  <cacheFields count="3">
    <cacheField name="[Measures].[TOTAL FREIGHT COST]" caption="TOTAL FREIGHT COST" numFmtId="0" hierarchy="11" level="32767"/>
    <cacheField name="[Measures].[FREIGHT COST VARIANCE]" caption="FREIGHT COST VARIANCE" numFmtId="0" hierarchy="12" level="32767"/>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84506828702" backgroundQuery="1" createdVersion="7" refreshedVersion="7" minRefreshableVersion="3" recordCount="0" supportSubquery="1" supportAdvancedDrill="1" xr:uid="{429905A3-25A4-4DBA-9403-CD4F9144C3CC}">
  <cacheSource type="external" connectionId="1"/>
  <cacheFields count="3">
    <cacheField name="[Measures].[TOTAL FREIGHT COST]" caption="TOTAL FREIGHT COST" numFmtId="0" hierarchy="11" level="32767"/>
    <cacheField name="[Measures].[FREIGHT COST VARIANCE]" caption="FREIGHT COST VARIANCE" numFmtId="0" hierarchy="12" level="32767"/>
    <cacheField name="[Table1].[Origin].[Origin]" caption="Origin" numFmtId="0" hierarchy="2" level="1">
      <sharedItems containsSemiMixedTypes="0" containsNonDate="0" containsString="0"/>
    </cacheField>
  </cacheFields>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1.52680659722" backgroundQuery="1" createdVersion="3" refreshedVersion="7" minRefreshableVersion="3" recordCount="0" supportSubquery="1" supportAdvancedDrill="1" xr:uid="{A482033F-7C27-484F-B809-737CB8741F0A}">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G COST per KM]" caption="AVG COST per KM" measure="1" displayFolder="" measureGroup="Table1" count="0"/>
    <cacheHierarchy uniqueName="[Measures].[TOTAL SHIPMENT]" caption="TOTAL SHIPMENT"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8"/>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7"/>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4"/>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014888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7BC305-D3EF-487E-8E99-9A21D9D524BC}"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B2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1" baseItem="0" numFmtId="10"/>
  </dataField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EC6CA-0F31-43B4-8EC7-AFBE1FE815FA}" name="PivotTable8"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36:F3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6"/>
    <dataField fld="1" subtotal="count" baseField="0" baseItem="0" numFmtId="166"/>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77324-F35F-4002-BCDD-FDA27894C0ED}"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42:F4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6"/>
    <dataField name="Max of Distance_KM" fld="1" subtotal="max" baseField="0" baseItem="1"/>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x of Distance_KM"/>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CC8C8-B209-4BE3-8572-9816AC9F320A}" name="PivotTable4"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H8:J17"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Sum of Actual_Cost" fld="1" baseField="0" baseItem="0" numFmtId="166"/>
    <dataField name="Sum of Planned_Cost" fld="2" baseField="0" baseItem="0" numFmtId="166"/>
  </dataFields>
  <conditionalFormats count="1">
    <conditionalFormat priority="8">
      <pivotAreas count="1">
        <pivotArea type="data" outline="0" collapsedLevelsAreSubtotals="1" fieldPosition="0"/>
      </pivotAreas>
    </conditionalFormat>
  </conditional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72E86-839C-4AA8-9403-3684FE1BB020}" name="PivotTable5"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H20:Q22" firstHeaderRow="1" firstDataRow="2" firstDataCol="1"/>
  <pivotFields count="2">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Items count="1">
    <i/>
  </rowItems>
  <colFields count="1">
    <field x="1"/>
  </colFields>
  <colItems count="9">
    <i>
      <x/>
    </i>
    <i>
      <x v="1"/>
    </i>
    <i>
      <x v="2"/>
    </i>
    <i>
      <x v="3"/>
    </i>
    <i>
      <x v="4"/>
    </i>
    <i>
      <x v="5"/>
    </i>
    <i>
      <x v="6"/>
    </i>
    <i>
      <x v="7"/>
    </i>
    <i t="grand">
      <x/>
    </i>
  </colItems>
  <dataFields count="1">
    <dataField fld="0" subtotal="count" baseField="0" baseItem="0" numFmtId="166"/>
  </dataField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chartFormats count="16">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4"/>
          </reference>
        </references>
      </pivotArea>
    </chartFormat>
    <chartFormat chart="9" format="5" series="1">
      <pivotArea type="data" outline="0" fieldPosition="0">
        <references count="2">
          <reference field="4294967294" count="1" selected="0">
            <x v="0"/>
          </reference>
          <reference field="1" count="1" selected="0">
            <x v="5"/>
          </reference>
        </references>
      </pivotArea>
    </chartFormat>
    <chartFormat chart="9" format="6" series="1">
      <pivotArea type="data" outline="0" fieldPosition="0">
        <references count="2">
          <reference field="4294967294" count="1" selected="0">
            <x v="0"/>
          </reference>
          <reference field="1" count="1" selected="0">
            <x v="6"/>
          </reference>
        </references>
      </pivotArea>
    </chartFormat>
    <chartFormat chart="9" format="7" series="1">
      <pivotArea type="data" outline="0" fieldPosition="0">
        <references count="2">
          <reference field="4294967294" count="1" selected="0">
            <x v="0"/>
          </reference>
          <reference field="1" count="1" selected="0">
            <x v="7"/>
          </reference>
        </references>
      </pivotArea>
    </chartFormat>
    <chartFormat chart="11" format="16" series="1">
      <pivotArea type="data" outline="0" fieldPosition="0">
        <references count="2">
          <reference field="4294967294" count="1" selected="0">
            <x v="0"/>
          </reference>
          <reference field="1" count="1" selected="0">
            <x v="0"/>
          </reference>
        </references>
      </pivotArea>
    </chartFormat>
    <chartFormat chart="11" format="17" series="1">
      <pivotArea type="data" outline="0" fieldPosition="0">
        <references count="2">
          <reference field="4294967294" count="1" selected="0">
            <x v="0"/>
          </reference>
          <reference field="1" count="1" selected="0">
            <x v="1"/>
          </reference>
        </references>
      </pivotArea>
    </chartFormat>
    <chartFormat chart="11" format="18" series="1">
      <pivotArea type="data" outline="0" fieldPosition="0">
        <references count="2">
          <reference field="4294967294" count="1" selected="0">
            <x v="0"/>
          </reference>
          <reference field="1" count="1" selected="0">
            <x v="2"/>
          </reference>
        </references>
      </pivotArea>
    </chartFormat>
    <chartFormat chart="11" format="19" series="1">
      <pivotArea type="data" outline="0" fieldPosition="0">
        <references count="2">
          <reference field="4294967294" count="1" selected="0">
            <x v="0"/>
          </reference>
          <reference field="1" count="1" selected="0">
            <x v="3"/>
          </reference>
        </references>
      </pivotArea>
    </chartFormat>
    <chartFormat chart="11" format="20" series="1">
      <pivotArea type="data" outline="0" fieldPosition="0">
        <references count="2">
          <reference field="4294967294" count="1" selected="0">
            <x v="0"/>
          </reference>
          <reference field="1" count="1" selected="0">
            <x v="4"/>
          </reference>
        </references>
      </pivotArea>
    </chartFormat>
    <chartFormat chart="11" format="21" series="1">
      <pivotArea type="data" outline="0" fieldPosition="0">
        <references count="2">
          <reference field="4294967294" count="1" selected="0">
            <x v="0"/>
          </reference>
          <reference field="1" count="1" selected="0">
            <x v="5"/>
          </reference>
        </references>
      </pivotArea>
    </chartFormat>
    <chartFormat chart="11" format="22" series="1">
      <pivotArea type="data" outline="0" fieldPosition="0">
        <references count="2">
          <reference field="4294967294" count="1" selected="0">
            <x v="0"/>
          </reference>
          <reference field="1" count="1" selected="0">
            <x v="6"/>
          </reference>
        </references>
      </pivotArea>
    </chartFormat>
    <chartFormat chart="11" format="23" series="1">
      <pivotArea type="data" outline="0" fieldPosition="0">
        <references count="2">
          <reference field="4294967294" count="1" selected="0">
            <x v="0"/>
          </reference>
          <reference field="1" count="1" selected="0">
            <x v="7"/>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BC3CCA-A866-496C-B17D-DABC2651A44C}"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6"/>
    <dataField fld="1" subtotal="count" baseField="0" baseItem="0" numFmtId="166"/>
    <dataField fld="2" subtotal="count" baseField="0" baseItem="0" numFmtId="166"/>
    <dataField fld="3" subtotal="count" baseField="0" baseItem="0"/>
    <dataField fld="4" subtotal="count" baseField="0" baseItem="0" numFmtId="167"/>
    <dataField fld="5" subtotal="count" baseField="0" baseItem="0"/>
    <dataField fld="6" subtotal="count" baseField="0" baseItem="0"/>
  </dataField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EEC093-0DA8-49E2-8FEF-36362826E393}"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45:F4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x of Distance_KM"/>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6B459B-E01D-4881-8FDB-D63C9A576780}" name="PivotTable9"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39:F4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numFmtId="166"/>
    <dataField fld="0" subtotal="count" baseField="0" baseItem="0" numFmtId="166"/>
  </dataFields>
  <conditionalFormats count="1">
    <conditionalFormat priority="2">
      <pivotAreas count="1">
        <pivotArea type="data" outline="0" collapsedLevelsAreSubtotals="1" fieldPosition="0">
          <references count="1">
            <reference field="4294967294" count="1" selected="0">
              <x v="1"/>
            </reference>
          </references>
        </pivotArea>
      </pivotAreas>
    </conditionalFormat>
  </conditional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835CA8-0BA3-4D80-A0B5-3A74BFA13E2C}"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0:B3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0" baseItem="0" numFmtId="10"/>
  </dataField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9B6519-2AC3-4B5D-AA6E-4B0D216057F2}"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B1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numFmtId="166"/>
  </dataField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chartFormats count="7">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4C7E2E65-5861-42D8-B4E9-10D9038BB233}" sourceName="[Table1].[Origin]">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8"/>
    <pivotTable tabId="3" name="PivotTable9"/>
  </pivotTables>
  <data>
    <olap pivotCacheId="1501488805">
      <levels count="2">
        <level uniqueName="[Table1].[Origin].[(All)]" sourceCaption="(All)" count="0"/>
        <level uniqueName="[Table1].[Origin].[Origin]" sourceCaption="Origin" count="8">
          <ranges>
            <range startItem="0">
              <i n="[Table1].[Origin].&amp;[Abuja]" c="Abuja"/>
              <i n="[Table1].[Origin].&amp;[Accra]" c="Accra"/>
              <i n="[Table1].[Origin].&amp;[Kumasi]" c="Kumasi"/>
              <i n="[Table1].[Origin].&amp;[Lagos]" c="Lagos"/>
              <i n="[Table1].[Origin].&amp;[Mombasa]" c="Mombasa"/>
              <i n="[Table1].[Origin].&amp;[Nairobi]" c="Nairobi"/>
              <i n="[Table1].[Origin].&amp;[Port Harcourt]" c="Port Harcourt"/>
              <i n="[Table1].[Origin].&amp;[Takoradi]" c="Takoradi"/>
            </range>
          </ranges>
        </level>
      </levels>
      <selections count="1">
        <selection n="[Table1].[Origi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BC95927B-0789-461D-AE54-0D7358B105E1}" cache="Slicer_Origin" caption="Origin" columnCount="8" showCaption="0" level="1" style="SlicerStyleDark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1" xr10:uid="{0AE795ED-1D13-46D9-91D6-AE3D460B0597}" cache="Slicer_Origin" caption="Origin" columnCount="8" showCaption="0" level="1"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06690-0A26-4C16-8DF6-EB0A4E259074}" name="Table1" displayName="Table1" ref="A1:K251" totalsRowShown="0" headerRowDxfId="6" headerRowBorderDxfId="5" tableBorderDxfId="4">
  <autoFilter ref="A1:K251" xr:uid="{E3506690-0A26-4C16-8DF6-EB0A4E259074}"/>
  <tableColumns count="11">
    <tableColumn id="1" xr3:uid="{64F41A77-167C-48D9-BDC3-0C22AC1DAD45}" name="Shipment_ID"/>
    <tableColumn id="2" xr3:uid="{A145FABF-ECA2-4337-8693-E9126749CB06}" name="Date" dataDxfId="3"/>
    <tableColumn id="3" xr3:uid="{810D2E99-0398-4F52-9C89-F3D99B3D8EC1}" name="Origin"/>
    <tableColumn id="4" xr3:uid="{DF60E677-AB13-4801-B78E-1F6B8DA3E4B7}" name="Destination"/>
    <tableColumn id="5" xr3:uid="{A999717C-6DCC-43F3-9026-C58B364C4D2C}" name="Distance_KM"/>
    <tableColumn id="6" xr3:uid="{069531EA-E372-454E-BEE5-56BADA1C38C1}" name="Carrier"/>
    <tableColumn id="7" xr3:uid="{624BE275-297E-4124-B60C-C3EE72674490}" name="Mode"/>
    <tableColumn id="8" xr3:uid="{29C5B37B-C491-4E1A-B4AB-A3884E230555}" name="Planned_Cost"/>
    <tableColumn id="9" xr3:uid="{80343BE8-0305-4E33-8CF7-3FA6ABFB55B7}" name="Actual_Cost"/>
    <tableColumn id="10" xr3:uid="{BB6B380F-AD88-4C72-8C0A-A377B1000D21}" name="Delivery_Status"/>
    <tableColumn id="11" xr3:uid="{6381C8FB-ACBE-4417-A8D0-A69352FC9E1A}" name="Delivery_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F74287-049B-417B-9156-0701704E44D2}" name="Table2" displayName="Table2" ref="A1:F251" totalsRowShown="0" headerRowDxfId="2" headerRowBorderDxfId="1" tableBorderDxfId="0">
  <autoFilter ref="A1:F251" xr:uid="{4EF74287-049B-417B-9156-0701704E44D2}"/>
  <tableColumns count="6">
    <tableColumn id="1" xr3:uid="{831620C6-504B-48E3-9B60-83C26CFBFE20}" name="Shipment_ID"/>
    <tableColumn id="2" xr3:uid="{B2487BA9-993C-4031-885A-42925302E195}" name="Fuel_Cost"/>
    <tableColumn id="3" xr3:uid="{807A4005-30CD-4E02-8B82-D02183D7D30E}" name="Toll_Fees"/>
    <tableColumn id="4" xr3:uid="{B8674EF8-CCB6-471D-B64B-C292343D517F}" name="Labor_Cost"/>
    <tableColumn id="5" xr3:uid="{7EFB380B-78C7-4A06-A57F-8AD4B1AAE4AE}" name="Maintenance_Cost"/>
    <tableColumn id="6" xr3:uid="{9970E341-6A6B-444E-BA85-6C5CD5836B5E}" name="Other_Cos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workbookViewId="0"/>
  </sheetViews>
  <sheetFormatPr defaultRowHeight="14.5" x14ac:dyDescent="0.35"/>
  <cols>
    <col min="1" max="1" width="16.1796875" bestFit="1" customWidth="1"/>
    <col min="2" max="2" width="17.81640625" bestFit="1" customWidth="1"/>
    <col min="3" max="3" width="12.08984375" bestFit="1" customWidth="1"/>
    <col min="4" max="4" width="15.08984375" bestFit="1" customWidth="1"/>
    <col min="5" max="5" width="16.36328125" bestFit="1" customWidth="1"/>
    <col min="6" max="6" width="11.1796875" bestFit="1" customWidth="1"/>
    <col min="7" max="7" width="10.26953125" bestFit="1" customWidth="1"/>
    <col min="8" max="8" width="16.90625" bestFit="1" customWidth="1"/>
    <col min="9" max="9" width="15.36328125" bestFit="1" customWidth="1"/>
    <col min="10" max="10" width="18.453125" bestFit="1" customWidth="1"/>
    <col min="11" max="11" width="17.08984375" bestFit="1" customWidth="1"/>
  </cols>
  <sheetData>
    <row r="1" spans="1:11" x14ac:dyDescent="0.35">
      <c r="A1" s="2" t="s">
        <v>0</v>
      </c>
      <c r="B1" s="2" t="s">
        <v>1</v>
      </c>
      <c r="C1" s="2" t="s">
        <v>2</v>
      </c>
      <c r="D1" s="2" t="s">
        <v>3</v>
      </c>
      <c r="E1" s="2" t="s">
        <v>4</v>
      </c>
      <c r="F1" s="2" t="s">
        <v>5</v>
      </c>
      <c r="G1" s="2" t="s">
        <v>6</v>
      </c>
      <c r="H1" s="2" t="s">
        <v>7</v>
      </c>
      <c r="I1" s="2" t="s">
        <v>8</v>
      </c>
      <c r="J1" s="2" t="s">
        <v>9</v>
      </c>
      <c r="K1" s="2" t="s">
        <v>10</v>
      </c>
    </row>
    <row r="2" spans="1:11" x14ac:dyDescent="0.35">
      <c r="A2" t="s">
        <v>11</v>
      </c>
      <c r="B2" s="1">
        <v>45744</v>
      </c>
      <c r="C2" t="s">
        <v>12</v>
      </c>
      <c r="D2" t="s">
        <v>13</v>
      </c>
      <c r="E2">
        <v>601</v>
      </c>
      <c r="F2" t="s">
        <v>14</v>
      </c>
      <c r="G2" t="s">
        <v>15</v>
      </c>
      <c r="H2">
        <v>217026</v>
      </c>
      <c r="I2">
        <v>185315</v>
      </c>
      <c r="J2" t="s">
        <v>16</v>
      </c>
      <c r="K2">
        <v>6</v>
      </c>
    </row>
    <row r="3" spans="1:11" x14ac:dyDescent="0.35">
      <c r="A3" t="s">
        <v>17</v>
      </c>
      <c r="B3" s="1">
        <v>45729</v>
      </c>
      <c r="C3" t="s">
        <v>12</v>
      </c>
      <c r="D3" t="s">
        <v>18</v>
      </c>
      <c r="E3">
        <v>161</v>
      </c>
      <c r="F3" t="s">
        <v>19</v>
      </c>
      <c r="G3" t="s">
        <v>20</v>
      </c>
      <c r="H3">
        <v>149123</v>
      </c>
      <c r="I3">
        <v>127780</v>
      </c>
      <c r="J3" t="s">
        <v>16</v>
      </c>
      <c r="K3">
        <v>2</v>
      </c>
    </row>
    <row r="4" spans="1:11" x14ac:dyDescent="0.35">
      <c r="A4" t="s">
        <v>21</v>
      </c>
      <c r="B4" s="1">
        <v>45678</v>
      </c>
      <c r="C4" t="s">
        <v>22</v>
      </c>
      <c r="D4" t="s">
        <v>23</v>
      </c>
      <c r="E4">
        <v>551</v>
      </c>
      <c r="F4" t="s">
        <v>14</v>
      </c>
      <c r="G4" t="s">
        <v>15</v>
      </c>
      <c r="H4">
        <v>335514</v>
      </c>
      <c r="I4">
        <v>362750</v>
      </c>
      <c r="J4" t="s">
        <v>16</v>
      </c>
      <c r="K4">
        <v>3</v>
      </c>
    </row>
    <row r="5" spans="1:11" x14ac:dyDescent="0.35">
      <c r="A5" t="s">
        <v>24</v>
      </c>
      <c r="B5" s="1">
        <v>45706</v>
      </c>
      <c r="C5" t="s">
        <v>23</v>
      </c>
      <c r="D5" t="s">
        <v>25</v>
      </c>
      <c r="E5">
        <v>540</v>
      </c>
      <c r="F5" t="s">
        <v>26</v>
      </c>
      <c r="G5" t="s">
        <v>20</v>
      </c>
      <c r="H5">
        <v>500290</v>
      </c>
      <c r="I5">
        <v>494408</v>
      </c>
      <c r="J5" t="s">
        <v>16</v>
      </c>
      <c r="K5">
        <v>1</v>
      </c>
    </row>
    <row r="6" spans="1:11" x14ac:dyDescent="0.35">
      <c r="A6" t="s">
        <v>27</v>
      </c>
      <c r="B6" s="1">
        <v>45706</v>
      </c>
      <c r="C6" t="s">
        <v>12</v>
      </c>
      <c r="D6" t="s">
        <v>22</v>
      </c>
      <c r="E6">
        <v>188</v>
      </c>
      <c r="F6" t="s">
        <v>26</v>
      </c>
      <c r="G6" t="s">
        <v>15</v>
      </c>
      <c r="H6">
        <v>482589</v>
      </c>
      <c r="I6">
        <v>492806</v>
      </c>
      <c r="J6" t="s">
        <v>16</v>
      </c>
      <c r="K6">
        <v>5</v>
      </c>
    </row>
    <row r="7" spans="1:11" x14ac:dyDescent="0.35">
      <c r="A7" t="s">
        <v>28</v>
      </c>
      <c r="B7" s="1">
        <v>45695</v>
      </c>
      <c r="C7" t="s">
        <v>12</v>
      </c>
      <c r="D7" t="s">
        <v>18</v>
      </c>
      <c r="E7">
        <v>493</v>
      </c>
      <c r="F7" t="s">
        <v>26</v>
      </c>
      <c r="G7" t="s">
        <v>15</v>
      </c>
      <c r="H7">
        <v>469398</v>
      </c>
      <c r="I7">
        <v>428514</v>
      </c>
      <c r="J7" t="s">
        <v>16</v>
      </c>
      <c r="K7">
        <v>1</v>
      </c>
    </row>
    <row r="8" spans="1:11" x14ac:dyDescent="0.35">
      <c r="A8" t="s">
        <v>29</v>
      </c>
      <c r="B8" s="1">
        <v>45678</v>
      </c>
      <c r="C8" t="s">
        <v>12</v>
      </c>
      <c r="D8" t="s">
        <v>30</v>
      </c>
      <c r="E8">
        <v>878</v>
      </c>
      <c r="F8" t="s">
        <v>31</v>
      </c>
      <c r="G8" t="s">
        <v>20</v>
      </c>
      <c r="H8">
        <v>245738</v>
      </c>
      <c r="I8">
        <v>255167</v>
      </c>
      <c r="J8" t="s">
        <v>32</v>
      </c>
      <c r="K8">
        <v>6</v>
      </c>
    </row>
    <row r="9" spans="1:11" x14ac:dyDescent="0.35">
      <c r="A9" t="s">
        <v>33</v>
      </c>
      <c r="B9" s="1">
        <v>45678</v>
      </c>
      <c r="C9" t="s">
        <v>18</v>
      </c>
      <c r="D9" t="s">
        <v>25</v>
      </c>
      <c r="E9">
        <v>246</v>
      </c>
      <c r="F9" t="s">
        <v>31</v>
      </c>
      <c r="G9" t="s">
        <v>15</v>
      </c>
      <c r="H9">
        <v>419360</v>
      </c>
      <c r="I9">
        <v>452587</v>
      </c>
      <c r="J9" t="s">
        <v>16</v>
      </c>
      <c r="K9">
        <v>2</v>
      </c>
    </row>
    <row r="10" spans="1:11" x14ac:dyDescent="0.35">
      <c r="A10" t="s">
        <v>34</v>
      </c>
      <c r="B10" s="1">
        <v>45687</v>
      </c>
      <c r="C10" t="s">
        <v>30</v>
      </c>
      <c r="D10" t="s">
        <v>22</v>
      </c>
      <c r="E10">
        <v>764</v>
      </c>
      <c r="F10" t="s">
        <v>26</v>
      </c>
      <c r="G10" t="s">
        <v>20</v>
      </c>
      <c r="H10">
        <v>541897</v>
      </c>
      <c r="I10">
        <v>592601</v>
      </c>
      <c r="J10" t="s">
        <v>16</v>
      </c>
      <c r="K10">
        <v>7</v>
      </c>
    </row>
    <row r="11" spans="1:11" x14ac:dyDescent="0.35">
      <c r="A11" t="s">
        <v>35</v>
      </c>
      <c r="B11" s="1">
        <v>45685</v>
      </c>
      <c r="C11" t="s">
        <v>13</v>
      </c>
      <c r="D11" t="s">
        <v>30</v>
      </c>
      <c r="E11">
        <v>648</v>
      </c>
      <c r="F11" t="s">
        <v>26</v>
      </c>
      <c r="G11" t="s">
        <v>15</v>
      </c>
      <c r="H11">
        <v>134701</v>
      </c>
      <c r="I11">
        <v>112354</v>
      </c>
      <c r="J11" t="s">
        <v>32</v>
      </c>
      <c r="K11">
        <v>5</v>
      </c>
    </row>
    <row r="12" spans="1:11" x14ac:dyDescent="0.35">
      <c r="A12" t="s">
        <v>36</v>
      </c>
      <c r="B12" s="1">
        <v>45732</v>
      </c>
      <c r="C12" t="s">
        <v>30</v>
      </c>
      <c r="D12" t="s">
        <v>22</v>
      </c>
      <c r="E12">
        <v>392</v>
      </c>
      <c r="F12" t="s">
        <v>14</v>
      </c>
      <c r="G12" t="s">
        <v>15</v>
      </c>
      <c r="H12">
        <v>238873</v>
      </c>
      <c r="I12">
        <v>207174</v>
      </c>
      <c r="J12" t="s">
        <v>32</v>
      </c>
      <c r="K12">
        <v>2</v>
      </c>
    </row>
    <row r="13" spans="1:11" x14ac:dyDescent="0.35">
      <c r="A13" t="s">
        <v>37</v>
      </c>
      <c r="B13" s="1">
        <v>45664</v>
      </c>
      <c r="C13" t="s">
        <v>23</v>
      </c>
      <c r="D13" t="s">
        <v>38</v>
      </c>
      <c r="E13">
        <v>549</v>
      </c>
      <c r="F13" t="s">
        <v>19</v>
      </c>
      <c r="G13" t="s">
        <v>15</v>
      </c>
      <c r="H13">
        <v>172525</v>
      </c>
      <c r="I13">
        <v>189309</v>
      </c>
      <c r="J13" t="s">
        <v>16</v>
      </c>
      <c r="K13">
        <v>4</v>
      </c>
    </row>
    <row r="14" spans="1:11" x14ac:dyDescent="0.35">
      <c r="A14" t="s">
        <v>39</v>
      </c>
      <c r="B14" s="1">
        <v>45734</v>
      </c>
      <c r="C14" t="s">
        <v>12</v>
      </c>
      <c r="D14" t="s">
        <v>25</v>
      </c>
      <c r="E14">
        <v>964</v>
      </c>
      <c r="F14" t="s">
        <v>14</v>
      </c>
      <c r="G14" t="s">
        <v>20</v>
      </c>
      <c r="H14">
        <v>412690</v>
      </c>
      <c r="I14">
        <v>371016</v>
      </c>
      <c r="J14" t="s">
        <v>32</v>
      </c>
      <c r="K14">
        <v>4</v>
      </c>
    </row>
    <row r="15" spans="1:11" x14ac:dyDescent="0.35">
      <c r="A15" t="s">
        <v>40</v>
      </c>
      <c r="B15" s="1">
        <v>45740</v>
      </c>
      <c r="C15" t="s">
        <v>30</v>
      </c>
      <c r="D15" t="s">
        <v>38</v>
      </c>
      <c r="E15">
        <v>334</v>
      </c>
      <c r="F15" t="s">
        <v>26</v>
      </c>
      <c r="G15" t="s">
        <v>20</v>
      </c>
      <c r="H15">
        <v>457412</v>
      </c>
      <c r="I15">
        <v>523382</v>
      </c>
      <c r="J15" t="s">
        <v>32</v>
      </c>
      <c r="K15">
        <v>5</v>
      </c>
    </row>
    <row r="16" spans="1:11" x14ac:dyDescent="0.35">
      <c r="A16" t="s">
        <v>41</v>
      </c>
      <c r="B16" s="1">
        <v>45722</v>
      </c>
      <c r="C16" t="s">
        <v>18</v>
      </c>
      <c r="D16" t="s">
        <v>12</v>
      </c>
      <c r="E16">
        <v>423</v>
      </c>
      <c r="F16" t="s">
        <v>26</v>
      </c>
      <c r="G16" t="s">
        <v>15</v>
      </c>
      <c r="H16">
        <v>337881</v>
      </c>
      <c r="I16">
        <v>288306</v>
      </c>
      <c r="J16" t="s">
        <v>32</v>
      </c>
      <c r="K16">
        <v>6</v>
      </c>
    </row>
    <row r="17" spans="1:11" x14ac:dyDescent="0.35">
      <c r="A17" t="s">
        <v>42</v>
      </c>
      <c r="B17" s="1">
        <v>45678</v>
      </c>
      <c r="C17" t="s">
        <v>25</v>
      </c>
      <c r="D17" t="s">
        <v>18</v>
      </c>
      <c r="E17">
        <v>1139</v>
      </c>
      <c r="F17" t="s">
        <v>43</v>
      </c>
      <c r="G17" t="s">
        <v>15</v>
      </c>
      <c r="H17">
        <v>419275</v>
      </c>
      <c r="I17">
        <v>395346</v>
      </c>
      <c r="J17" t="s">
        <v>32</v>
      </c>
      <c r="K17">
        <v>2</v>
      </c>
    </row>
    <row r="18" spans="1:11" x14ac:dyDescent="0.35">
      <c r="A18" t="s">
        <v>44</v>
      </c>
      <c r="B18" s="1">
        <v>45688</v>
      </c>
      <c r="C18" t="s">
        <v>13</v>
      </c>
      <c r="D18" t="s">
        <v>18</v>
      </c>
      <c r="E18">
        <v>139</v>
      </c>
      <c r="F18" t="s">
        <v>26</v>
      </c>
      <c r="G18" t="s">
        <v>15</v>
      </c>
      <c r="H18">
        <v>158650</v>
      </c>
      <c r="I18">
        <v>230428</v>
      </c>
      <c r="J18" t="s">
        <v>32</v>
      </c>
      <c r="K18">
        <v>3</v>
      </c>
    </row>
    <row r="19" spans="1:11" x14ac:dyDescent="0.35">
      <c r="A19" t="s">
        <v>45</v>
      </c>
      <c r="B19" s="1">
        <v>45726</v>
      </c>
      <c r="C19" t="s">
        <v>13</v>
      </c>
      <c r="D19" t="s">
        <v>25</v>
      </c>
      <c r="E19">
        <v>275</v>
      </c>
      <c r="F19" t="s">
        <v>46</v>
      </c>
      <c r="G19" t="s">
        <v>20</v>
      </c>
      <c r="H19">
        <v>483730</v>
      </c>
      <c r="I19">
        <v>497429</v>
      </c>
      <c r="J19" t="s">
        <v>16</v>
      </c>
      <c r="K19">
        <v>7</v>
      </c>
    </row>
    <row r="20" spans="1:11" x14ac:dyDescent="0.35">
      <c r="A20" t="s">
        <v>47</v>
      </c>
      <c r="B20" s="1">
        <v>45685</v>
      </c>
      <c r="C20" t="s">
        <v>25</v>
      </c>
      <c r="D20" t="s">
        <v>13</v>
      </c>
      <c r="E20">
        <v>438</v>
      </c>
      <c r="F20" t="s">
        <v>14</v>
      </c>
      <c r="G20" t="s">
        <v>15</v>
      </c>
      <c r="H20">
        <v>238966</v>
      </c>
      <c r="I20">
        <v>258129</v>
      </c>
      <c r="J20" t="s">
        <v>32</v>
      </c>
      <c r="K20">
        <v>7</v>
      </c>
    </row>
    <row r="21" spans="1:11" x14ac:dyDescent="0.35">
      <c r="A21" t="s">
        <v>48</v>
      </c>
      <c r="B21" s="1">
        <v>45673</v>
      </c>
      <c r="C21" t="s">
        <v>22</v>
      </c>
      <c r="D21" t="s">
        <v>23</v>
      </c>
      <c r="E21">
        <v>864</v>
      </c>
      <c r="F21" t="s">
        <v>26</v>
      </c>
      <c r="G21" t="s">
        <v>15</v>
      </c>
      <c r="H21">
        <v>329690</v>
      </c>
      <c r="I21">
        <v>397604</v>
      </c>
      <c r="J21" t="s">
        <v>32</v>
      </c>
      <c r="K21">
        <v>5</v>
      </c>
    </row>
    <row r="22" spans="1:11" x14ac:dyDescent="0.35">
      <c r="A22" t="s">
        <v>49</v>
      </c>
      <c r="B22" s="1">
        <v>45658</v>
      </c>
      <c r="C22" t="s">
        <v>22</v>
      </c>
      <c r="D22" t="s">
        <v>13</v>
      </c>
      <c r="E22">
        <v>143</v>
      </c>
      <c r="F22" t="s">
        <v>43</v>
      </c>
      <c r="G22" t="s">
        <v>15</v>
      </c>
      <c r="H22">
        <v>408443</v>
      </c>
      <c r="I22">
        <v>431046</v>
      </c>
      <c r="J22" t="s">
        <v>16</v>
      </c>
      <c r="K22">
        <v>2</v>
      </c>
    </row>
    <row r="23" spans="1:11" x14ac:dyDescent="0.35">
      <c r="A23" t="s">
        <v>50</v>
      </c>
      <c r="B23" s="1">
        <v>45667</v>
      </c>
      <c r="C23" t="s">
        <v>12</v>
      </c>
      <c r="D23" t="s">
        <v>23</v>
      </c>
      <c r="E23">
        <v>568</v>
      </c>
      <c r="F23" t="s">
        <v>14</v>
      </c>
      <c r="G23" t="s">
        <v>20</v>
      </c>
      <c r="H23">
        <v>135337</v>
      </c>
      <c r="I23">
        <v>204012</v>
      </c>
      <c r="J23" t="s">
        <v>32</v>
      </c>
      <c r="K23">
        <v>1</v>
      </c>
    </row>
    <row r="24" spans="1:11" x14ac:dyDescent="0.35">
      <c r="A24" t="s">
        <v>51</v>
      </c>
      <c r="B24" s="1">
        <v>45689</v>
      </c>
      <c r="C24" t="s">
        <v>22</v>
      </c>
      <c r="D24" t="s">
        <v>25</v>
      </c>
      <c r="E24">
        <v>538</v>
      </c>
      <c r="F24" t="s">
        <v>14</v>
      </c>
      <c r="G24" t="s">
        <v>15</v>
      </c>
      <c r="H24">
        <v>382713</v>
      </c>
      <c r="I24">
        <v>350055</v>
      </c>
      <c r="J24" t="s">
        <v>32</v>
      </c>
      <c r="K24">
        <v>6</v>
      </c>
    </row>
    <row r="25" spans="1:11" x14ac:dyDescent="0.35">
      <c r="A25" t="s">
        <v>52</v>
      </c>
      <c r="B25" s="1">
        <v>45712</v>
      </c>
      <c r="C25" t="s">
        <v>30</v>
      </c>
      <c r="D25" t="s">
        <v>23</v>
      </c>
      <c r="E25">
        <v>293</v>
      </c>
      <c r="F25" t="s">
        <v>19</v>
      </c>
      <c r="G25" t="s">
        <v>20</v>
      </c>
      <c r="H25">
        <v>150819</v>
      </c>
      <c r="I25">
        <v>187193</v>
      </c>
      <c r="J25" t="s">
        <v>32</v>
      </c>
      <c r="K25">
        <v>4</v>
      </c>
    </row>
    <row r="26" spans="1:11" x14ac:dyDescent="0.35">
      <c r="A26" t="s">
        <v>53</v>
      </c>
      <c r="B26" s="1">
        <v>45671</v>
      </c>
      <c r="C26" t="s">
        <v>23</v>
      </c>
      <c r="D26" t="s">
        <v>22</v>
      </c>
      <c r="E26">
        <v>301</v>
      </c>
      <c r="F26" t="s">
        <v>14</v>
      </c>
      <c r="G26" t="s">
        <v>20</v>
      </c>
      <c r="H26">
        <v>131778</v>
      </c>
      <c r="I26">
        <v>134550</v>
      </c>
      <c r="J26" t="s">
        <v>32</v>
      </c>
      <c r="K26">
        <v>6</v>
      </c>
    </row>
    <row r="27" spans="1:11" x14ac:dyDescent="0.35">
      <c r="A27" t="s">
        <v>54</v>
      </c>
      <c r="B27" s="1">
        <v>45689</v>
      </c>
      <c r="C27" t="s">
        <v>22</v>
      </c>
      <c r="D27" t="s">
        <v>13</v>
      </c>
      <c r="E27">
        <v>387</v>
      </c>
      <c r="F27" t="s">
        <v>31</v>
      </c>
      <c r="G27" t="s">
        <v>15</v>
      </c>
      <c r="H27">
        <v>321187</v>
      </c>
      <c r="I27">
        <v>295237</v>
      </c>
      <c r="J27" t="s">
        <v>32</v>
      </c>
      <c r="K27">
        <v>3</v>
      </c>
    </row>
    <row r="28" spans="1:11" x14ac:dyDescent="0.35">
      <c r="A28" t="s">
        <v>55</v>
      </c>
      <c r="B28" s="1">
        <v>45669</v>
      </c>
      <c r="C28" t="s">
        <v>12</v>
      </c>
      <c r="D28" t="s">
        <v>38</v>
      </c>
      <c r="E28">
        <v>203</v>
      </c>
      <c r="F28" t="s">
        <v>46</v>
      </c>
      <c r="G28" t="s">
        <v>20</v>
      </c>
      <c r="H28">
        <v>441911</v>
      </c>
      <c r="I28">
        <v>462766</v>
      </c>
      <c r="J28" t="s">
        <v>16</v>
      </c>
      <c r="K28">
        <v>7</v>
      </c>
    </row>
    <row r="29" spans="1:11" x14ac:dyDescent="0.35">
      <c r="A29" t="s">
        <v>56</v>
      </c>
      <c r="B29" s="1">
        <v>45679</v>
      </c>
      <c r="C29" t="s">
        <v>22</v>
      </c>
      <c r="D29" t="s">
        <v>13</v>
      </c>
      <c r="E29">
        <v>1085</v>
      </c>
      <c r="F29" t="s">
        <v>19</v>
      </c>
      <c r="G29" t="s">
        <v>15</v>
      </c>
      <c r="H29">
        <v>212065</v>
      </c>
      <c r="I29">
        <v>275396</v>
      </c>
      <c r="J29" t="s">
        <v>16</v>
      </c>
      <c r="K29">
        <v>4</v>
      </c>
    </row>
    <row r="30" spans="1:11" x14ac:dyDescent="0.35">
      <c r="A30" t="s">
        <v>57</v>
      </c>
      <c r="B30" s="1">
        <v>45677</v>
      </c>
      <c r="C30" t="s">
        <v>23</v>
      </c>
      <c r="D30" t="s">
        <v>12</v>
      </c>
      <c r="E30">
        <v>1031</v>
      </c>
      <c r="F30" t="s">
        <v>19</v>
      </c>
      <c r="G30" t="s">
        <v>15</v>
      </c>
      <c r="H30">
        <v>249552</v>
      </c>
      <c r="I30">
        <v>254996</v>
      </c>
      <c r="J30" t="s">
        <v>32</v>
      </c>
      <c r="K30">
        <v>6</v>
      </c>
    </row>
    <row r="31" spans="1:11" x14ac:dyDescent="0.35">
      <c r="A31" t="s">
        <v>58</v>
      </c>
      <c r="B31" s="1">
        <v>45732</v>
      </c>
      <c r="C31" t="s">
        <v>22</v>
      </c>
      <c r="D31" t="s">
        <v>25</v>
      </c>
      <c r="E31">
        <v>224</v>
      </c>
      <c r="F31" t="s">
        <v>31</v>
      </c>
      <c r="G31" t="s">
        <v>20</v>
      </c>
      <c r="H31">
        <v>492154</v>
      </c>
      <c r="I31">
        <v>483258</v>
      </c>
      <c r="J31" t="s">
        <v>16</v>
      </c>
      <c r="K31">
        <v>1</v>
      </c>
    </row>
    <row r="32" spans="1:11" x14ac:dyDescent="0.35">
      <c r="A32" t="s">
        <v>59</v>
      </c>
      <c r="B32" s="1">
        <v>45666</v>
      </c>
      <c r="C32" t="s">
        <v>30</v>
      </c>
      <c r="D32" t="s">
        <v>38</v>
      </c>
      <c r="E32">
        <v>216</v>
      </c>
      <c r="F32" t="s">
        <v>46</v>
      </c>
      <c r="G32" t="s">
        <v>20</v>
      </c>
      <c r="H32">
        <v>366248</v>
      </c>
      <c r="I32">
        <v>326748</v>
      </c>
      <c r="J32" t="s">
        <v>16</v>
      </c>
      <c r="K32">
        <v>7</v>
      </c>
    </row>
    <row r="33" spans="1:11" x14ac:dyDescent="0.35">
      <c r="A33" t="s">
        <v>60</v>
      </c>
      <c r="B33" s="1">
        <v>45732</v>
      </c>
      <c r="C33" t="s">
        <v>12</v>
      </c>
      <c r="D33" t="s">
        <v>23</v>
      </c>
      <c r="E33">
        <v>345</v>
      </c>
      <c r="F33" t="s">
        <v>31</v>
      </c>
      <c r="G33" t="s">
        <v>15</v>
      </c>
      <c r="H33">
        <v>593667</v>
      </c>
      <c r="I33">
        <v>660358</v>
      </c>
      <c r="J33" t="s">
        <v>16</v>
      </c>
      <c r="K33">
        <v>5</v>
      </c>
    </row>
    <row r="34" spans="1:11" x14ac:dyDescent="0.35">
      <c r="A34" t="s">
        <v>61</v>
      </c>
      <c r="B34" s="1">
        <v>45743</v>
      </c>
      <c r="C34" t="s">
        <v>13</v>
      </c>
      <c r="D34" t="s">
        <v>18</v>
      </c>
      <c r="E34">
        <v>1170</v>
      </c>
      <c r="F34" t="s">
        <v>43</v>
      </c>
      <c r="G34" t="s">
        <v>15</v>
      </c>
      <c r="H34">
        <v>265868</v>
      </c>
      <c r="I34">
        <v>338381</v>
      </c>
      <c r="J34" t="s">
        <v>16</v>
      </c>
      <c r="K34">
        <v>3</v>
      </c>
    </row>
    <row r="35" spans="1:11" x14ac:dyDescent="0.35">
      <c r="A35" t="s">
        <v>62</v>
      </c>
      <c r="B35" s="1">
        <v>45698</v>
      </c>
      <c r="C35" t="s">
        <v>18</v>
      </c>
      <c r="D35" t="s">
        <v>13</v>
      </c>
      <c r="E35">
        <v>368</v>
      </c>
      <c r="F35" t="s">
        <v>26</v>
      </c>
      <c r="G35" t="s">
        <v>15</v>
      </c>
      <c r="H35">
        <v>452159</v>
      </c>
      <c r="I35">
        <v>486766</v>
      </c>
      <c r="J35" t="s">
        <v>32</v>
      </c>
      <c r="K35">
        <v>3</v>
      </c>
    </row>
    <row r="36" spans="1:11" x14ac:dyDescent="0.35">
      <c r="A36" t="s">
        <v>63</v>
      </c>
      <c r="B36" s="1">
        <v>45674</v>
      </c>
      <c r="C36" t="s">
        <v>12</v>
      </c>
      <c r="D36" t="s">
        <v>13</v>
      </c>
      <c r="E36">
        <v>250</v>
      </c>
      <c r="F36" t="s">
        <v>19</v>
      </c>
      <c r="G36" t="s">
        <v>20</v>
      </c>
      <c r="H36">
        <v>381875</v>
      </c>
      <c r="I36">
        <v>359813</v>
      </c>
      <c r="J36" t="s">
        <v>32</v>
      </c>
      <c r="K36">
        <v>5</v>
      </c>
    </row>
    <row r="37" spans="1:11" x14ac:dyDescent="0.35">
      <c r="A37" t="s">
        <v>64</v>
      </c>
      <c r="B37" s="1">
        <v>45736</v>
      </c>
      <c r="C37" t="s">
        <v>18</v>
      </c>
      <c r="D37" t="s">
        <v>12</v>
      </c>
      <c r="E37">
        <v>683</v>
      </c>
      <c r="F37" t="s">
        <v>31</v>
      </c>
      <c r="G37" t="s">
        <v>15</v>
      </c>
      <c r="H37">
        <v>182704</v>
      </c>
      <c r="I37">
        <v>190137</v>
      </c>
      <c r="J37" t="s">
        <v>32</v>
      </c>
      <c r="K37">
        <v>7</v>
      </c>
    </row>
    <row r="38" spans="1:11" x14ac:dyDescent="0.35">
      <c r="A38" t="s">
        <v>65</v>
      </c>
      <c r="B38" s="1">
        <v>45672</v>
      </c>
      <c r="C38" t="s">
        <v>13</v>
      </c>
      <c r="D38" t="s">
        <v>23</v>
      </c>
      <c r="E38">
        <v>312</v>
      </c>
      <c r="F38" t="s">
        <v>46</v>
      </c>
      <c r="G38" t="s">
        <v>15</v>
      </c>
      <c r="H38">
        <v>592269</v>
      </c>
      <c r="I38">
        <v>657366</v>
      </c>
      <c r="J38" t="s">
        <v>32</v>
      </c>
      <c r="K38">
        <v>2</v>
      </c>
    </row>
    <row r="39" spans="1:11" x14ac:dyDescent="0.35">
      <c r="A39" t="s">
        <v>66</v>
      </c>
      <c r="B39" s="1">
        <v>45684</v>
      </c>
      <c r="C39" t="s">
        <v>12</v>
      </c>
      <c r="D39" t="s">
        <v>23</v>
      </c>
      <c r="E39">
        <v>657</v>
      </c>
      <c r="F39" t="s">
        <v>46</v>
      </c>
      <c r="G39" t="s">
        <v>20</v>
      </c>
      <c r="H39">
        <v>247721</v>
      </c>
      <c r="I39">
        <v>276997</v>
      </c>
      <c r="J39" t="s">
        <v>32</v>
      </c>
      <c r="K39">
        <v>2</v>
      </c>
    </row>
    <row r="40" spans="1:11" x14ac:dyDescent="0.35">
      <c r="A40" t="s">
        <v>67</v>
      </c>
      <c r="B40" s="1">
        <v>45663</v>
      </c>
      <c r="C40" t="s">
        <v>38</v>
      </c>
      <c r="D40" t="s">
        <v>18</v>
      </c>
      <c r="E40">
        <v>204</v>
      </c>
      <c r="F40" t="s">
        <v>19</v>
      </c>
      <c r="G40" t="s">
        <v>15</v>
      </c>
      <c r="H40">
        <v>148390</v>
      </c>
      <c r="I40">
        <v>181526</v>
      </c>
      <c r="J40" t="s">
        <v>32</v>
      </c>
      <c r="K40">
        <v>4</v>
      </c>
    </row>
    <row r="41" spans="1:11" x14ac:dyDescent="0.35">
      <c r="A41" t="s">
        <v>68</v>
      </c>
      <c r="B41" s="1">
        <v>45729</v>
      </c>
      <c r="C41" t="s">
        <v>13</v>
      </c>
      <c r="D41" t="s">
        <v>22</v>
      </c>
      <c r="E41">
        <v>430</v>
      </c>
      <c r="F41" t="s">
        <v>31</v>
      </c>
      <c r="G41" t="s">
        <v>15</v>
      </c>
      <c r="H41">
        <v>488618</v>
      </c>
      <c r="I41">
        <v>496530</v>
      </c>
      <c r="J41" t="s">
        <v>32</v>
      </c>
      <c r="K41">
        <v>5</v>
      </c>
    </row>
    <row r="42" spans="1:11" x14ac:dyDescent="0.35">
      <c r="A42" t="s">
        <v>69</v>
      </c>
      <c r="B42" s="1">
        <v>45713</v>
      </c>
      <c r="C42" t="s">
        <v>13</v>
      </c>
      <c r="D42" t="s">
        <v>12</v>
      </c>
      <c r="E42">
        <v>173</v>
      </c>
      <c r="F42" t="s">
        <v>43</v>
      </c>
      <c r="G42" t="s">
        <v>20</v>
      </c>
      <c r="H42">
        <v>537568</v>
      </c>
      <c r="I42">
        <v>535961</v>
      </c>
      <c r="J42" t="s">
        <v>16</v>
      </c>
      <c r="K42">
        <v>5</v>
      </c>
    </row>
    <row r="43" spans="1:11" x14ac:dyDescent="0.35">
      <c r="A43" t="s">
        <v>70</v>
      </c>
      <c r="B43" s="1">
        <v>45743</v>
      </c>
      <c r="C43" t="s">
        <v>25</v>
      </c>
      <c r="D43" t="s">
        <v>12</v>
      </c>
      <c r="E43">
        <v>181</v>
      </c>
      <c r="F43" t="s">
        <v>26</v>
      </c>
      <c r="G43" t="s">
        <v>15</v>
      </c>
      <c r="H43">
        <v>571295</v>
      </c>
      <c r="I43">
        <v>568193</v>
      </c>
      <c r="J43" t="s">
        <v>16</v>
      </c>
      <c r="K43">
        <v>2</v>
      </c>
    </row>
    <row r="44" spans="1:11" x14ac:dyDescent="0.35">
      <c r="A44" t="s">
        <v>71</v>
      </c>
      <c r="B44" s="1">
        <v>45680</v>
      </c>
      <c r="C44" t="s">
        <v>12</v>
      </c>
      <c r="D44" t="s">
        <v>22</v>
      </c>
      <c r="E44">
        <v>416</v>
      </c>
      <c r="F44" t="s">
        <v>46</v>
      </c>
      <c r="G44" t="s">
        <v>15</v>
      </c>
      <c r="H44">
        <v>585366</v>
      </c>
      <c r="I44">
        <v>657247</v>
      </c>
      <c r="J44" t="s">
        <v>16</v>
      </c>
      <c r="K44">
        <v>2</v>
      </c>
    </row>
    <row r="45" spans="1:11" x14ac:dyDescent="0.35">
      <c r="A45" t="s">
        <v>72</v>
      </c>
      <c r="B45" s="1">
        <v>45692</v>
      </c>
      <c r="C45" t="s">
        <v>23</v>
      </c>
      <c r="D45" t="s">
        <v>12</v>
      </c>
      <c r="E45">
        <v>943</v>
      </c>
      <c r="F45" t="s">
        <v>31</v>
      </c>
      <c r="G45" t="s">
        <v>15</v>
      </c>
      <c r="H45">
        <v>520602</v>
      </c>
      <c r="I45">
        <v>558408</v>
      </c>
      <c r="J45" t="s">
        <v>16</v>
      </c>
      <c r="K45">
        <v>7</v>
      </c>
    </row>
    <row r="46" spans="1:11" x14ac:dyDescent="0.35">
      <c r="A46" t="s">
        <v>73</v>
      </c>
      <c r="B46" s="1">
        <v>45686</v>
      </c>
      <c r="C46" t="s">
        <v>25</v>
      </c>
      <c r="D46" t="s">
        <v>30</v>
      </c>
      <c r="E46">
        <v>883</v>
      </c>
      <c r="F46" t="s">
        <v>14</v>
      </c>
      <c r="G46" t="s">
        <v>20</v>
      </c>
      <c r="H46">
        <v>557266</v>
      </c>
      <c r="I46">
        <v>512341</v>
      </c>
      <c r="J46" t="s">
        <v>32</v>
      </c>
      <c r="K46">
        <v>7</v>
      </c>
    </row>
    <row r="47" spans="1:11" x14ac:dyDescent="0.35">
      <c r="A47" t="s">
        <v>74</v>
      </c>
      <c r="B47" s="1">
        <v>45686</v>
      </c>
      <c r="C47" t="s">
        <v>22</v>
      </c>
      <c r="D47" t="s">
        <v>30</v>
      </c>
      <c r="E47">
        <v>725</v>
      </c>
      <c r="F47" t="s">
        <v>19</v>
      </c>
      <c r="G47" t="s">
        <v>15</v>
      </c>
      <c r="H47">
        <v>530197</v>
      </c>
      <c r="I47">
        <v>584444</v>
      </c>
      <c r="J47" t="s">
        <v>16</v>
      </c>
      <c r="K47">
        <v>7</v>
      </c>
    </row>
    <row r="48" spans="1:11" x14ac:dyDescent="0.35">
      <c r="A48" t="s">
        <v>75</v>
      </c>
      <c r="B48" s="1">
        <v>45702</v>
      </c>
      <c r="C48" t="s">
        <v>13</v>
      </c>
      <c r="D48" t="s">
        <v>23</v>
      </c>
      <c r="E48">
        <v>772</v>
      </c>
      <c r="F48" t="s">
        <v>31</v>
      </c>
      <c r="G48" t="s">
        <v>15</v>
      </c>
      <c r="H48">
        <v>246068</v>
      </c>
      <c r="I48">
        <v>309360</v>
      </c>
      <c r="J48" t="s">
        <v>32</v>
      </c>
      <c r="K48">
        <v>1</v>
      </c>
    </row>
    <row r="49" spans="1:11" x14ac:dyDescent="0.35">
      <c r="A49" t="s">
        <v>76</v>
      </c>
      <c r="B49" s="1">
        <v>45732</v>
      </c>
      <c r="C49" t="s">
        <v>23</v>
      </c>
      <c r="D49" t="s">
        <v>18</v>
      </c>
      <c r="E49">
        <v>156</v>
      </c>
      <c r="F49" t="s">
        <v>46</v>
      </c>
      <c r="G49" t="s">
        <v>15</v>
      </c>
      <c r="H49">
        <v>160472</v>
      </c>
      <c r="I49">
        <v>225427</v>
      </c>
      <c r="J49" t="s">
        <v>16</v>
      </c>
      <c r="K49">
        <v>3</v>
      </c>
    </row>
    <row r="50" spans="1:11" x14ac:dyDescent="0.35">
      <c r="A50" t="s">
        <v>77</v>
      </c>
      <c r="B50" s="1">
        <v>45735</v>
      </c>
      <c r="C50" t="s">
        <v>38</v>
      </c>
      <c r="D50" t="s">
        <v>12</v>
      </c>
      <c r="E50">
        <v>807</v>
      </c>
      <c r="F50" t="s">
        <v>43</v>
      </c>
      <c r="G50" t="s">
        <v>15</v>
      </c>
      <c r="H50">
        <v>481967</v>
      </c>
      <c r="I50">
        <v>535045</v>
      </c>
      <c r="J50" t="s">
        <v>32</v>
      </c>
      <c r="K50">
        <v>3</v>
      </c>
    </row>
    <row r="51" spans="1:11" x14ac:dyDescent="0.35">
      <c r="A51" t="s">
        <v>78</v>
      </c>
      <c r="B51" s="1">
        <v>45724</v>
      </c>
      <c r="C51" t="s">
        <v>12</v>
      </c>
      <c r="D51" t="s">
        <v>38</v>
      </c>
      <c r="E51">
        <v>621</v>
      </c>
      <c r="F51" t="s">
        <v>46</v>
      </c>
      <c r="G51" t="s">
        <v>20</v>
      </c>
      <c r="H51">
        <v>123271</v>
      </c>
      <c r="I51">
        <v>166172</v>
      </c>
      <c r="J51" t="s">
        <v>16</v>
      </c>
      <c r="K51">
        <v>4</v>
      </c>
    </row>
    <row r="52" spans="1:11" x14ac:dyDescent="0.35">
      <c r="A52" t="s">
        <v>79</v>
      </c>
      <c r="B52" s="1">
        <v>45696</v>
      </c>
      <c r="C52" t="s">
        <v>22</v>
      </c>
      <c r="D52" t="s">
        <v>25</v>
      </c>
      <c r="E52">
        <v>776</v>
      </c>
      <c r="F52" t="s">
        <v>19</v>
      </c>
      <c r="G52" t="s">
        <v>20</v>
      </c>
      <c r="H52">
        <v>426712</v>
      </c>
      <c r="I52">
        <v>417857</v>
      </c>
      <c r="J52" t="s">
        <v>16</v>
      </c>
      <c r="K52">
        <v>6</v>
      </c>
    </row>
    <row r="53" spans="1:11" x14ac:dyDescent="0.35">
      <c r="A53" t="s">
        <v>80</v>
      </c>
      <c r="B53" s="1">
        <v>45682</v>
      </c>
      <c r="C53" t="s">
        <v>38</v>
      </c>
      <c r="D53" t="s">
        <v>23</v>
      </c>
      <c r="E53">
        <v>924</v>
      </c>
      <c r="F53" t="s">
        <v>19</v>
      </c>
      <c r="G53" t="s">
        <v>15</v>
      </c>
      <c r="H53">
        <v>465538</v>
      </c>
      <c r="I53">
        <v>454290</v>
      </c>
      <c r="J53" t="s">
        <v>16</v>
      </c>
      <c r="K53">
        <v>5</v>
      </c>
    </row>
    <row r="54" spans="1:11" x14ac:dyDescent="0.35">
      <c r="A54" t="s">
        <v>81</v>
      </c>
      <c r="B54" s="1">
        <v>45696</v>
      </c>
      <c r="C54" t="s">
        <v>23</v>
      </c>
      <c r="D54" t="s">
        <v>18</v>
      </c>
      <c r="E54">
        <v>716</v>
      </c>
      <c r="F54" t="s">
        <v>19</v>
      </c>
      <c r="G54" t="s">
        <v>20</v>
      </c>
      <c r="H54">
        <v>312900</v>
      </c>
      <c r="I54">
        <v>334719</v>
      </c>
      <c r="J54" t="s">
        <v>16</v>
      </c>
      <c r="K54">
        <v>7</v>
      </c>
    </row>
    <row r="55" spans="1:11" x14ac:dyDescent="0.35">
      <c r="A55" t="s">
        <v>82</v>
      </c>
      <c r="B55" s="1">
        <v>45723</v>
      </c>
      <c r="C55" t="s">
        <v>38</v>
      </c>
      <c r="D55" t="s">
        <v>13</v>
      </c>
      <c r="E55">
        <v>1052</v>
      </c>
      <c r="F55" t="s">
        <v>19</v>
      </c>
      <c r="G55" t="s">
        <v>15</v>
      </c>
      <c r="H55">
        <v>331623</v>
      </c>
      <c r="I55">
        <v>339577</v>
      </c>
      <c r="J55" t="s">
        <v>16</v>
      </c>
      <c r="K55">
        <v>6</v>
      </c>
    </row>
    <row r="56" spans="1:11" x14ac:dyDescent="0.35">
      <c r="A56" t="s">
        <v>83</v>
      </c>
      <c r="B56" s="1">
        <v>45669</v>
      </c>
      <c r="C56" t="s">
        <v>30</v>
      </c>
      <c r="D56" t="s">
        <v>23</v>
      </c>
      <c r="E56">
        <v>273</v>
      </c>
      <c r="F56" t="s">
        <v>14</v>
      </c>
      <c r="G56" t="s">
        <v>20</v>
      </c>
      <c r="H56">
        <v>248785</v>
      </c>
      <c r="I56">
        <v>266346</v>
      </c>
      <c r="J56" t="s">
        <v>32</v>
      </c>
      <c r="K56">
        <v>6</v>
      </c>
    </row>
    <row r="57" spans="1:11" x14ac:dyDescent="0.35">
      <c r="A57" t="s">
        <v>84</v>
      </c>
      <c r="B57" s="1">
        <v>45718</v>
      </c>
      <c r="C57" t="s">
        <v>22</v>
      </c>
      <c r="D57" t="s">
        <v>23</v>
      </c>
      <c r="E57">
        <v>507</v>
      </c>
      <c r="F57" t="s">
        <v>26</v>
      </c>
      <c r="G57" t="s">
        <v>20</v>
      </c>
      <c r="H57">
        <v>177255</v>
      </c>
      <c r="I57">
        <v>130456</v>
      </c>
      <c r="J57" t="s">
        <v>16</v>
      </c>
      <c r="K57">
        <v>1</v>
      </c>
    </row>
    <row r="58" spans="1:11" x14ac:dyDescent="0.35">
      <c r="A58" t="s">
        <v>85</v>
      </c>
      <c r="B58" s="1">
        <v>45741</v>
      </c>
      <c r="C58" t="s">
        <v>12</v>
      </c>
      <c r="D58" t="s">
        <v>38</v>
      </c>
      <c r="E58">
        <v>886</v>
      </c>
      <c r="F58" t="s">
        <v>19</v>
      </c>
      <c r="G58" t="s">
        <v>20</v>
      </c>
      <c r="H58">
        <v>359196</v>
      </c>
      <c r="I58">
        <v>361579</v>
      </c>
      <c r="J58" t="s">
        <v>16</v>
      </c>
      <c r="K58">
        <v>2</v>
      </c>
    </row>
    <row r="59" spans="1:11" x14ac:dyDescent="0.35">
      <c r="A59" t="s">
        <v>86</v>
      </c>
      <c r="B59" s="1">
        <v>45664</v>
      </c>
      <c r="C59" t="s">
        <v>13</v>
      </c>
      <c r="D59" t="s">
        <v>30</v>
      </c>
      <c r="E59">
        <v>548</v>
      </c>
      <c r="F59" t="s">
        <v>43</v>
      </c>
      <c r="G59" t="s">
        <v>15</v>
      </c>
      <c r="H59">
        <v>192215</v>
      </c>
      <c r="I59">
        <v>247611</v>
      </c>
      <c r="J59" t="s">
        <v>32</v>
      </c>
      <c r="K59">
        <v>6</v>
      </c>
    </row>
    <row r="60" spans="1:11" x14ac:dyDescent="0.35">
      <c r="A60" t="s">
        <v>87</v>
      </c>
      <c r="B60" s="1">
        <v>45714</v>
      </c>
      <c r="C60" t="s">
        <v>22</v>
      </c>
      <c r="D60" t="s">
        <v>30</v>
      </c>
      <c r="E60">
        <v>373</v>
      </c>
      <c r="F60" t="s">
        <v>43</v>
      </c>
      <c r="G60" t="s">
        <v>15</v>
      </c>
      <c r="H60">
        <v>520173</v>
      </c>
      <c r="I60">
        <v>531074</v>
      </c>
      <c r="J60" t="s">
        <v>32</v>
      </c>
      <c r="K60">
        <v>6</v>
      </c>
    </row>
    <row r="61" spans="1:11" x14ac:dyDescent="0.35">
      <c r="A61" t="s">
        <v>88</v>
      </c>
      <c r="B61" s="1">
        <v>45691</v>
      </c>
      <c r="C61" t="s">
        <v>23</v>
      </c>
      <c r="D61" t="s">
        <v>30</v>
      </c>
      <c r="E61">
        <v>425</v>
      </c>
      <c r="F61" t="s">
        <v>46</v>
      </c>
      <c r="G61" t="s">
        <v>15</v>
      </c>
      <c r="H61">
        <v>489889</v>
      </c>
      <c r="I61">
        <v>552806</v>
      </c>
      <c r="J61" t="s">
        <v>32</v>
      </c>
      <c r="K61">
        <v>4</v>
      </c>
    </row>
    <row r="62" spans="1:11" x14ac:dyDescent="0.35">
      <c r="A62" t="s">
        <v>89</v>
      </c>
      <c r="B62" s="1">
        <v>45714</v>
      </c>
      <c r="C62" t="s">
        <v>22</v>
      </c>
      <c r="D62" t="s">
        <v>30</v>
      </c>
      <c r="E62">
        <v>1167</v>
      </c>
      <c r="F62" t="s">
        <v>14</v>
      </c>
      <c r="G62" t="s">
        <v>15</v>
      </c>
      <c r="H62">
        <v>354068</v>
      </c>
      <c r="I62">
        <v>386217</v>
      </c>
      <c r="J62" t="s">
        <v>32</v>
      </c>
      <c r="K62">
        <v>2</v>
      </c>
    </row>
    <row r="63" spans="1:11" x14ac:dyDescent="0.35">
      <c r="A63" t="s">
        <v>90</v>
      </c>
      <c r="B63" s="1">
        <v>45675</v>
      </c>
      <c r="C63" t="s">
        <v>12</v>
      </c>
      <c r="D63" t="s">
        <v>23</v>
      </c>
      <c r="E63">
        <v>656</v>
      </c>
      <c r="F63" t="s">
        <v>26</v>
      </c>
      <c r="G63" t="s">
        <v>20</v>
      </c>
      <c r="H63">
        <v>276080</v>
      </c>
      <c r="I63">
        <v>267984</v>
      </c>
      <c r="J63" t="s">
        <v>16</v>
      </c>
      <c r="K63">
        <v>5</v>
      </c>
    </row>
    <row r="64" spans="1:11" x14ac:dyDescent="0.35">
      <c r="A64" t="s">
        <v>91</v>
      </c>
      <c r="B64" s="1">
        <v>45727</v>
      </c>
      <c r="C64" t="s">
        <v>25</v>
      </c>
      <c r="D64" t="s">
        <v>13</v>
      </c>
      <c r="E64">
        <v>538</v>
      </c>
      <c r="F64" t="s">
        <v>19</v>
      </c>
      <c r="G64" t="s">
        <v>20</v>
      </c>
      <c r="H64">
        <v>133674</v>
      </c>
      <c r="I64">
        <v>138051</v>
      </c>
      <c r="J64" t="s">
        <v>32</v>
      </c>
      <c r="K64">
        <v>4</v>
      </c>
    </row>
    <row r="65" spans="1:11" x14ac:dyDescent="0.35">
      <c r="A65" t="s">
        <v>92</v>
      </c>
      <c r="B65" s="1">
        <v>45731</v>
      </c>
      <c r="C65" t="s">
        <v>30</v>
      </c>
      <c r="D65" t="s">
        <v>22</v>
      </c>
      <c r="E65">
        <v>960</v>
      </c>
      <c r="F65" t="s">
        <v>43</v>
      </c>
      <c r="G65" t="s">
        <v>20</v>
      </c>
      <c r="H65">
        <v>304198</v>
      </c>
      <c r="I65">
        <v>372796</v>
      </c>
      <c r="J65" t="s">
        <v>16</v>
      </c>
      <c r="K65">
        <v>7</v>
      </c>
    </row>
    <row r="66" spans="1:11" x14ac:dyDescent="0.35">
      <c r="A66" t="s">
        <v>93</v>
      </c>
      <c r="B66" s="1">
        <v>45726</v>
      </c>
      <c r="C66" t="s">
        <v>23</v>
      </c>
      <c r="D66" t="s">
        <v>22</v>
      </c>
      <c r="E66">
        <v>711</v>
      </c>
      <c r="F66" t="s">
        <v>43</v>
      </c>
      <c r="G66" t="s">
        <v>15</v>
      </c>
      <c r="H66">
        <v>495037</v>
      </c>
      <c r="I66">
        <v>496153</v>
      </c>
      <c r="J66" t="s">
        <v>32</v>
      </c>
      <c r="K66">
        <v>7</v>
      </c>
    </row>
    <row r="67" spans="1:11" x14ac:dyDescent="0.35">
      <c r="A67" t="s">
        <v>94</v>
      </c>
      <c r="B67" s="1">
        <v>45743</v>
      </c>
      <c r="C67" t="s">
        <v>22</v>
      </c>
      <c r="D67" t="s">
        <v>38</v>
      </c>
      <c r="E67">
        <v>992</v>
      </c>
      <c r="F67" t="s">
        <v>31</v>
      </c>
      <c r="G67" t="s">
        <v>15</v>
      </c>
      <c r="H67">
        <v>354616</v>
      </c>
      <c r="I67">
        <v>308420</v>
      </c>
      <c r="J67" t="s">
        <v>32</v>
      </c>
      <c r="K67">
        <v>4</v>
      </c>
    </row>
    <row r="68" spans="1:11" x14ac:dyDescent="0.35">
      <c r="A68" t="s">
        <v>95</v>
      </c>
      <c r="B68" s="1">
        <v>45733</v>
      </c>
      <c r="C68" t="s">
        <v>23</v>
      </c>
      <c r="D68" t="s">
        <v>18</v>
      </c>
      <c r="E68">
        <v>361</v>
      </c>
      <c r="F68" t="s">
        <v>31</v>
      </c>
      <c r="G68" t="s">
        <v>15</v>
      </c>
      <c r="H68">
        <v>426241</v>
      </c>
      <c r="I68">
        <v>446249</v>
      </c>
      <c r="J68" t="s">
        <v>32</v>
      </c>
      <c r="K68">
        <v>1</v>
      </c>
    </row>
    <row r="69" spans="1:11" x14ac:dyDescent="0.35">
      <c r="A69" t="s">
        <v>96</v>
      </c>
      <c r="B69" s="1">
        <v>45691</v>
      </c>
      <c r="C69" t="s">
        <v>13</v>
      </c>
      <c r="D69" t="s">
        <v>12</v>
      </c>
      <c r="E69">
        <v>377</v>
      </c>
      <c r="F69" t="s">
        <v>14</v>
      </c>
      <c r="G69" t="s">
        <v>15</v>
      </c>
      <c r="H69">
        <v>554479</v>
      </c>
      <c r="I69">
        <v>564994</v>
      </c>
      <c r="J69" t="s">
        <v>16</v>
      </c>
      <c r="K69">
        <v>2</v>
      </c>
    </row>
    <row r="70" spans="1:11" x14ac:dyDescent="0.35">
      <c r="A70" t="s">
        <v>97</v>
      </c>
      <c r="B70" s="1">
        <v>45711</v>
      </c>
      <c r="C70" t="s">
        <v>23</v>
      </c>
      <c r="D70" t="s">
        <v>25</v>
      </c>
      <c r="E70">
        <v>769</v>
      </c>
      <c r="F70" t="s">
        <v>31</v>
      </c>
      <c r="G70" t="s">
        <v>15</v>
      </c>
      <c r="H70">
        <v>276947</v>
      </c>
      <c r="I70">
        <v>326722</v>
      </c>
      <c r="J70" t="s">
        <v>32</v>
      </c>
      <c r="K70">
        <v>4</v>
      </c>
    </row>
    <row r="71" spans="1:11" x14ac:dyDescent="0.35">
      <c r="A71" t="s">
        <v>98</v>
      </c>
      <c r="B71" s="1">
        <v>45686</v>
      </c>
      <c r="C71" t="s">
        <v>38</v>
      </c>
      <c r="D71" t="s">
        <v>30</v>
      </c>
      <c r="E71">
        <v>139</v>
      </c>
      <c r="F71" t="s">
        <v>43</v>
      </c>
      <c r="G71" t="s">
        <v>15</v>
      </c>
      <c r="H71">
        <v>492704</v>
      </c>
      <c r="I71">
        <v>513406</v>
      </c>
      <c r="J71" t="s">
        <v>32</v>
      </c>
      <c r="K71">
        <v>1</v>
      </c>
    </row>
    <row r="72" spans="1:11" x14ac:dyDescent="0.35">
      <c r="A72" t="s">
        <v>99</v>
      </c>
      <c r="B72" s="1">
        <v>45737</v>
      </c>
      <c r="C72" t="s">
        <v>12</v>
      </c>
      <c r="D72" t="s">
        <v>30</v>
      </c>
      <c r="E72">
        <v>163</v>
      </c>
      <c r="F72" t="s">
        <v>14</v>
      </c>
      <c r="G72" t="s">
        <v>20</v>
      </c>
      <c r="H72">
        <v>597870</v>
      </c>
      <c r="I72">
        <v>580281</v>
      </c>
      <c r="J72" t="s">
        <v>16</v>
      </c>
      <c r="K72">
        <v>2</v>
      </c>
    </row>
    <row r="73" spans="1:11" x14ac:dyDescent="0.35">
      <c r="A73" t="s">
        <v>100</v>
      </c>
      <c r="B73" s="1">
        <v>45747</v>
      </c>
      <c r="C73" t="s">
        <v>25</v>
      </c>
      <c r="D73" t="s">
        <v>13</v>
      </c>
      <c r="E73">
        <v>334</v>
      </c>
      <c r="F73" t="s">
        <v>31</v>
      </c>
      <c r="G73" t="s">
        <v>15</v>
      </c>
      <c r="H73">
        <v>395682</v>
      </c>
      <c r="I73">
        <v>469906</v>
      </c>
      <c r="J73" t="s">
        <v>32</v>
      </c>
      <c r="K73">
        <v>2</v>
      </c>
    </row>
    <row r="74" spans="1:11" x14ac:dyDescent="0.35">
      <c r="A74" t="s">
        <v>101</v>
      </c>
      <c r="B74" s="1">
        <v>45671</v>
      </c>
      <c r="C74" t="s">
        <v>38</v>
      </c>
      <c r="D74" t="s">
        <v>30</v>
      </c>
      <c r="E74">
        <v>334</v>
      </c>
      <c r="F74" t="s">
        <v>26</v>
      </c>
      <c r="G74" t="s">
        <v>20</v>
      </c>
      <c r="H74">
        <v>507786</v>
      </c>
      <c r="I74">
        <v>565173</v>
      </c>
      <c r="J74" t="s">
        <v>32</v>
      </c>
      <c r="K74">
        <v>2</v>
      </c>
    </row>
    <row r="75" spans="1:11" x14ac:dyDescent="0.35">
      <c r="A75" t="s">
        <v>102</v>
      </c>
      <c r="B75" s="1">
        <v>45733</v>
      </c>
      <c r="C75" t="s">
        <v>13</v>
      </c>
      <c r="D75" t="s">
        <v>22</v>
      </c>
      <c r="E75">
        <v>912</v>
      </c>
      <c r="F75" t="s">
        <v>46</v>
      </c>
      <c r="G75" t="s">
        <v>15</v>
      </c>
      <c r="H75">
        <v>593601</v>
      </c>
      <c r="I75">
        <v>637319</v>
      </c>
      <c r="J75" t="s">
        <v>16</v>
      </c>
      <c r="K75">
        <v>2</v>
      </c>
    </row>
    <row r="76" spans="1:11" x14ac:dyDescent="0.35">
      <c r="A76" t="s">
        <v>103</v>
      </c>
      <c r="B76" s="1">
        <v>45702</v>
      </c>
      <c r="C76" t="s">
        <v>22</v>
      </c>
      <c r="D76" t="s">
        <v>12</v>
      </c>
      <c r="E76">
        <v>347</v>
      </c>
      <c r="F76" t="s">
        <v>14</v>
      </c>
      <c r="G76" t="s">
        <v>15</v>
      </c>
      <c r="H76">
        <v>517452</v>
      </c>
      <c r="I76">
        <v>596406</v>
      </c>
      <c r="J76" t="s">
        <v>16</v>
      </c>
      <c r="K76">
        <v>5</v>
      </c>
    </row>
    <row r="77" spans="1:11" x14ac:dyDescent="0.35">
      <c r="A77" t="s">
        <v>104</v>
      </c>
      <c r="B77" s="1">
        <v>45720</v>
      </c>
      <c r="C77" t="s">
        <v>23</v>
      </c>
      <c r="D77" t="s">
        <v>18</v>
      </c>
      <c r="E77">
        <v>1136</v>
      </c>
      <c r="F77" t="s">
        <v>26</v>
      </c>
      <c r="G77" t="s">
        <v>20</v>
      </c>
      <c r="H77">
        <v>439499</v>
      </c>
      <c r="I77">
        <v>434224</v>
      </c>
      <c r="J77" t="s">
        <v>32</v>
      </c>
      <c r="K77">
        <v>1</v>
      </c>
    </row>
    <row r="78" spans="1:11" x14ac:dyDescent="0.35">
      <c r="A78" t="s">
        <v>105</v>
      </c>
      <c r="B78" s="1">
        <v>45736</v>
      </c>
      <c r="C78" t="s">
        <v>12</v>
      </c>
      <c r="D78" t="s">
        <v>38</v>
      </c>
      <c r="E78">
        <v>413</v>
      </c>
      <c r="F78" t="s">
        <v>26</v>
      </c>
      <c r="G78" t="s">
        <v>15</v>
      </c>
      <c r="H78">
        <v>328320</v>
      </c>
      <c r="I78">
        <v>301406</v>
      </c>
      <c r="J78" t="s">
        <v>32</v>
      </c>
      <c r="K78">
        <v>6</v>
      </c>
    </row>
    <row r="79" spans="1:11" x14ac:dyDescent="0.35">
      <c r="A79" t="s">
        <v>106</v>
      </c>
      <c r="B79" s="1">
        <v>45693</v>
      </c>
      <c r="C79" t="s">
        <v>30</v>
      </c>
      <c r="D79" t="s">
        <v>22</v>
      </c>
      <c r="E79">
        <v>760</v>
      </c>
      <c r="F79" t="s">
        <v>19</v>
      </c>
      <c r="G79" t="s">
        <v>15</v>
      </c>
      <c r="H79">
        <v>546542</v>
      </c>
      <c r="I79">
        <v>528719</v>
      </c>
      <c r="J79" t="s">
        <v>16</v>
      </c>
      <c r="K79">
        <v>7</v>
      </c>
    </row>
    <row r="80" spans="1:11" x14ac:dyDescent="0.35">
      <c r="A80" t="s">
        <v>107</v>
      </c>
      <c r="B80" s="1">
        <v>45681</v>
      </c>
      <c r="C80" t="s">
        <v>30</v>
      </c>
      <c r="D80" t="s">
        <v>13</v>
      </c>
      <c r="E80">
        <v>788</v>
      </c>
      <c r="F80" t="s">
        <v>19</v>
      </c>
      <c r="G80" t="s">
        <v>15</v>
      </c>
      <c r="H80">
        <v>115047</v>
      </c>
      <c r="I80">
        <v>129836</v>
      </c>
      <c r="J80" t="s">
        <v>32</v>
      </c>
      <c r="K80">
        <v>7</v>
      </c>
    </row>
    <row r="81" spans="1:11" x14ac:dyDescent="0.35">
      <c r="A81" t="s">
        <v>108</v>
      </c>
      <c r="B81" s="1">
        <v>45729</v>
      </c>
      <c r="C81" t="s">
        <v>30</v>
      </c>
      <c r="D81" t="s">
        <v>13</v>
      </c>
      <c r="E81">
        <v>797</v>
      </c>
      <c r="F81" t="s">
        <v>26</v>
      </c>
      <c r="G81" t="s">
        <v>15</v>
      </c>
      <c r="H81">
        <v>246621</v>
      </c>
      <c r="I81">
        <v>312006</v>
      </c>
      <c r="J81" t="s">
        <v>32</v>
      </c>
      <c r="K81">
        <v>5</v>
      </c>
    </row>
    <row r="82" spans="1:11" x14ac:dyDescent="0.35">
      <c r="A82" t="s">
        <v>109</v>
      </c>
      <c r="B82" s="1">
        <v>45746</v>
      </c>
      <c r="C82" t="s">
        <v>13</v>
      </c>
      <c r="D82" t="s">
        <v>18</v>
      </c>
      <c r="E82">
        <v>594</v>
      </c>
      <c r="F82" t="s">
        <v>31</v>
      </c>
      <c r="G82" t="s">
        <v>20</v>
      </c>
      <c r="H82">
        <v>477526</v>
      </c>
      <c r="I82">
        <v>480797</v>
      </c>
      <c r="J82" t="s">
        <v>16</v>
      </c>
      <c r="K82">
        <v>4</v>
      </c>
    </row>
    <row r="83" spans="1:11" x14ac:dyDescent="0.35">
      <c r="A83" t="s">
        <v>110</v>
      </c>
      <c r="B83" s="1">
        <v>45686</v>
      </c>
      <c r="C83" t="s">
        <v>30</v>
      </c>
      <c r="D83" t="s">
        <v>18</v>
      </c>
      <c r="E83">
        <v>1017</v>
      </c>
      <c r="F83" t="s">
        <v>14</v>
      </c>
      <c r="G83" t="s">
        <v>15</v>
      </c>
      <c r="H83">
        <v>515725</v>
      </c>
      <c r="I83">
        <v>467985</v>
      </c>
      <c r="J83" t="s">
        <v>32</v>
      </c>
      <c r="K83">
        <v>1</v>
      </c>
    </row>
    <row r="84" spans="1:11" x14ac:dyDescent="0.35">
      <c r="A84" t="s">
        <v>111</v>
      </c>
      <c r="B84" s="1">
        <v>45712</v>
      </c>
      <c r="C84" t="s">
        <v>23</v>
      </c>
      <c r="D84" t="s">
        <v>18</v>
      </c>
      <c r="E84">
        <v>855</v>
      </c>
      <c r="F84" t="s">
        <v>31</v>
      </c>
      <c r="G84" t="s">
        <v>15</v>
      </c>
      <c r="H84">
        <v>348124</v>
      </c>
      <c r="I84">
        <v>370668</v>
      </c>
      <c r="J84" t="s">
        <v>32</v>
      </c>
      <c r="K84">
        <v>5</v>
      </c>
    </row>
    <row r="85" spans="1:11" x14ac:dyDescent="0.35">
      <c r="A85" t="s">
        <v>112</v>
      </c>
      <c r="B85" s="1">
        <v>45682</v>
      </c>
      <c r="C85" t="s">
        <v>18</v>
      </c>
      <c r="D85" t="s">
        <v>25</v>
      </c>
      <c r="E85">
        <v>654</v>
      </c>
      <c r="F85" t="s">
        <v>14</v>
      </c>
      <c r="G85" t="s">
        <v>15</v>
      </c>
      <c r="H85">
        <v>260758</v>
      </c>
      <c r="I85">
        <v>243709</v>
      </c>
      <c r="J85" t="s">
        <v>16</v>
      </c>
      <c r="K85">
        <v>2</v>
      </c>
    </row>
    <row r="86" spans="1:11" x14ac:dyDescent="0.35">
      <c r="A86" t="s">
        <v>113</v>
      </c>
      <c r="B86" s="1">
        <v>45733</v>
      </c>
      <c r="C86" t="s">
        <v>18</v>
      </c>
      <c r="D86" t="s">
        <v>12</v>
      </c>
      <c r="E86">
        <v>492</v>
      </c>
      <c r="F86" t="s">
        <v>14</v>
      </c>
      <c r="G86" t="s">
        <v>20</v>
      </c>
      <c r="H86">
        <v>213447</v>
      </c>
      <c r="I86">
        <v>260257</v>
      </c>
      <c r="J86" t="s">
        <v>32</v>
      </c>
      <c r="K86">
        <v>4</v>
      </c>
    </row>
    <row r="87" spans="1:11" x14ac:dyDescent="0.35">
      <c r="A87" t="s">
        <v>114</v>
      </c>
      <c r="B87" s="1">
        <v>45748</v>
      </c>
      <c r="C87" t="s">
        <v>38</v>
      </c>
      <c r="D87" t="s">
        <v>12</v>
      </c>
      <c r="E87">
        <v>565</v>
      </c>
      <c r="F87" t="s">
        <v>31</v>
      </c>
      <c r="G87" t="s">
        <v>15</v>
      </c>
      <c r="H87">
        <v>289205</v>
      </c>
      <c r="I87">
        <v>262724</v>
      </c>
      <c r="J87" t="s">
        <v>16</v>
      </c>
      <c r="K87">
        <v>3</v>
      </c>
    </row>
    <row r="88" spans="1:11" x14ac:dyDescent="0.35">
      <c r="A88" t="s">
        <v>115</v>
      </c>
      <c r="B88" s="1">
        <v>45671</v>
      </c>
      <c r="C88" t="s">
        <v>25</v>
      </c>
      <c r="D88" t="s">
        <v>22</v>
      </c>
      <c r="E88">
        <v>698</v>
      </c>
      <c r="F88" t="s">
        <v>43</v>
      </c>
      <c r="G88" t="s">
        <v>20</v>
      </c>
      <c r="H88">
        <v>465647</v>
      </c>
      <c r="I88">
        <v>539390</v>
      </c>
      <c r="J88" t="s">
        <v>32</v>
      </c>
      <c r="K88">
        <v>2</v>
      </c>
    </row>
    <row r="89" spans="1:11" x14ac:dyDescent="0.35">
      <c r="A89" t="s">
        <v>116</v>
      </c>
      <c r="B89" s="1">
        <v>45690</v>
      </c>
      <c r="C89" t="s">
        <v>13</v>
      </c>
      <c r="D89" t="s">
        <v>18</v>
      </c>
      <c r="E89">
        <v>1080</v>
      </c>
      <c r="F89" t="s">
        <v>26</v>
      </c>
      <c r="G89" t="s">
        <v>15</v>
      </c>
      <c r="H89">
        <v>330932</v>
      </c>
      <c r="I89">
        <v>325589</v>
      </c>
      <c r="J89" t="s">
        <v>16</v>
      </c>
      <c r="K89">
        <v>2</v>
      </c>
    </row>
    <row r="90" spans="1:11" x14ac:dyDescent="0.35">
      <c r="A90" t="s">
        <v>117</v>
      </c>
      <c r="B90" s="1">
        <v>45677</v>
      </c>
      <c r="C90" t="s">
        <v>30</v>
      </c>
      <c r="D90" t="s">
        <v>12</v>
      </c>
      <c r="E90">
        <v>1107</v>
      </c>
      <c r="F90" t="s">
        <v>43</v>
      </c>
      <c r="G90" t="s">
        <v>15</v>
      </c>
      <c r="H90">
        <v>138840</v>
      </c>
      <c r="I90">
        <v>164471</v>
      </c>
      <c r="J90" t="s">
        <v>16</v>
      </c>
      <c r="K90">
        <v>6</v>
      </c>
    </row>
    <row r="91" spans="1:11" x14ac:dyDescent="0.35">
      <c r="A91" t="s">
        <v>118</v>
      </c>
      <c r="B91" s="1">
        <v>45735</v>
      </c>
      <c r="C91" t="s">
        <v>25</v>
      </c>
      <c r="D91" t="s">
        <v>30</v>
      </c>
      <c r="E91">
        <v>274</v>
      </c>
      <c r="F91" t="s">
        <v>46</v>
      </c>
      <c r="G91" t="s">
        <v>15</v>
      </c>
      <c r="H91">
        <v>230123</v>
      </c>
      <c r="I91">
        <v>195648</v>
      </c>
      <c r="J91" t="s">
        <v>32</v>
      </c>
      <c r="K91">
        <v>5</v>
      </c>
    </row>
    <row r="92" spans="1:11" x14ac:dyDescent="0.35">
      <c r="A92" t="s">
        <v>119</v>
      </c>
      <c r="B92" s="1">
        <v>45697</v>
      </c>
      <c r="C92" t="s">
        <v>22</v>
      </c>
      <c r="D92" t="s">
        <v>30</v>
      </c>
      <c r="E92">
        <v>1022</v>
      </c>
      <c r="F92" t="s">
        <v>46</v>
      </c>
      <c r="G92" t="s">
        <v>15</v>
      </c>
      <c r="H92">
        <v>576317</v>
      </c>
      <c r="I92">
        <v>584345</v>
      </c>
      <c r="J92" t="s">
        <v>32</v>
      </c>
      <c r="K92">
        <v>3</v>
      </c>
    </row>
    <row r="93" spans="1:11" x14ac:dyDescent="0.35">
      <c r="A93" t="s">
        <v>120</v>
      </c>
      <c r="B93" s="1">
        <v>45678</v>
      </c>
      <c r="C93" t="s">
        <v>13</v>
      </c>
      <c r="D93" t="s">
        <v>18</v>
      </c>
      <c r="E93">
        <v>525</v>
      </c>
      <c r="F93" t="s">
        <v>14</v>
      </c>
      <c r="G93" t="s">
        <v>20</v>
      </c>
      <c r="H93">
        <v>427950</v>
      </c>
      <c r="I93">
        <v>405609</v>
      </c>
      <c r="J93" t="s">
        <v>16</v>
      </c>
      <c r="K93">
        <v>3</v>
      </c>
    </row>
    <row r="94" spans="1:11" x14ac:dyDescent="0.35">
      <c r="A94" t="s">
        <v>121</v>
      </c>
      <c r="B94" s="1">
        <v>45695</v>
      </c>
      <c r="C94" t="s">
        <v>22</v>
      </c>
      <c r="D94" t="s">
        <v>13</v>
      </c>
      <c r="E94">
        <v>420</v>
      </c>
      <c r="F94" t="s">
        <v>46</v>
      </c>
      <c r="G94" t="s">
        <v>20</v>
      </c>
      <c r="H94">
        <v>101402</v>
      </c>
      <c r="I94">
        <v>104947</v>
      </c>
      <c r="J94" t="s">
        <v>32</v>
      </c>
      <c r="K94">
        <v>4</v>
      </c>
    </row>
    <row r="95" spans="1:11" x14ac:dyDescent="0.35">
      <c r="A95" t="s">
        <v>122</v>
      </c>
      <c r="B95" s="1">
        <v>45738</v>
      </c>
      <c r="C95" t="s">
        <v>13</v>
      </c>
      <c r="D95" t="s">
        <v>25</v>
      </c>
      <c r="E95">
        <v>1029</v>
      </c>
      <c r="F95" t="s">
        <v>26</v>
      </c>
      <c r="G95" t="s">
        <v>15</v>
      </c>
      <c r="H95">
        <v>137318</v>
      </c>
      <c r="I95">
        <v>177414</v>
      </c>
      <c r="J95" t="s">
        <v>32</v>
      </c>
      <c r="K95">
        <v>2</v>
      </c>
    </row>
    <row r="96" spans="1:11" x14ac:dyDescent="0.35">
      <c r="A96" t="s">
        <v>123</v>
      </c>
      <c r="B96" s="1">
        <v>45667</v>
      </c>
      <c r="C96" t="s">
        <v>22</v>
      </c>
      <c r="D96" t="s">
        <v>38</v>
      </c>
      <c r="E96">
        <v>405</v>
      </c>
      <c r="F96" t="s">
        <v>43</v>
      </c>
      <c r="G96" t="s">
        <v>20</v>
      </c>
      <c r="H96">
        <v>576269</v>
      </c>
      <c r="I96">
        <v>561085</v>
      </c>
      <c r="J96" t="s">
        <v>16</v>
      </c>
      <c r="K96">
        <v>7</v>
      </c>
    </row>
    <row r="97" spans="1:11" x14ac:dyDescent="0.35">
      <c r="A97" t="s">
        <v>124</v>
      </c>
      <c r="B97" s="1">
        <v>45747</v>
      </c>
      <c r="C97" t="s">
        <v>13</v>
      </c>
      <c r="D97" t="s">
        <v>25</v>
      </c>
      <c r="E97">
        <v>999</v>
      </c>
      <c r="F97" t="s">
        <v>26</v>
      </c>
      <c r="G97" t="s">
        <v>15</v>
      </c>
      <c r="H97">
        <v>165197</v>
      </c>
      <c r="I97">
        <v>176630</v>
      </c>
      <c r="J97" t="s">
        <v>32</v>
      </c>
      <c r="K97">
        <v>6</v>
      </c>
    </row>
    <row r="98" spans="1:11" x14ac:dyDescent="0.35">
      <c r="A98" t="s">
        <v>125</v>
      </c>
      <c r="B98" s="1">
        <v>45699</v>
      </c>
      <c r="C98" t="s">
        <v>23</v>
      </c>
      <c r="D98" t="s">
        <v>25</v>
      </c>
      <c r="E98">
        <v>996</v>
      </c>
      <c r="F98" t="s">
        <v>46</v>
      </c>
      <c r="G98" t="s">
        <v>15</v>
      </c>
      <c r="H98">
        <v>142174</v>
      </c>
      <c r="I98">
        <v>170559</v>
      </c>
      <c r="J98" t="s">
        <v>32</v>
      </c>
      <c r="K98">
        <v>1</v>
      </c>
    </row>
    <row r="99" spans="1:11" x14ac:dyDescent="0.35">
      <c r="A99" t="s">
        <v>126</v>
      </c>
      <c r="B99" s="1">
        <v>45731</v>
      </c>
      <c r="C99" t="s">
        <v>38</v>
      </c>
      <c r="D99" t="s">
        <v>12</v>
      </c>
      <c r="E99">
        <v>142</v>
      </c>
      <c r="F99" t="s">
        <v>43</v>
      </c>
      <c r="G99" t="s">
        <v>20</v>
      </c>
      <c r="H99">
        <v>500954</v>
      </c>
      <c r="I99">
        <v>539071</v>
      </c>
      <c r="J99" t="s">
        <v>32</v>
      </c>
      <c r="K99">
        <v>7</v>
      </c>
    </row>
    <row r="100" spans="1:11" x14ac:dyDescent="0.35">
      <c r="A100" t="s">
        <v>127</v>
      </c>
      <c r="B100" s="1">
        <v>45732</v>
      </c>
      <c r="C100" t="s">
        <v>13</v>
      </c>
      <c r="D100" t="s">
        <v>30</v>
      </c>
      <c r="E100">
        <v>1162</v>
      </c>
      <c r="F100" t="s">
        <v>31</v>
      </c>
      <c r="G100" t="s">
        <v>15</v>
      </c>
      <c r="H100">
        <v>441578</v>
      </c>
      <c r="I100">
        <v>449541</v>
      </c>
      <c r="J100" t="s">
        <v>16</v>
      </c>
      <c r="K100">
        <v>3</v>
      </c>
    </row>
    <row r="101" spans="1:11" x14ac:dyDescent="0.35">
      <c r="A101" t="s">
        <v>128</v>
      </c>
      <c r="B101" s="1">
        <v>45743</v>
      </c>
      <c r="C101" t="s">
        <v>23</v>
      </c>
      <c r="D101" t="s">
        <v>18</v>
      </c>
      <c r="E101">
        <v>1062</v>
      </c>
      <c r="F101" t="s">
        <v>19</v>
      </c>
      <c r="G101" t="s">
        <v>20</v>
      </c>
      <c r="H101">
        <v>282431</v>
      </c>
      <c r="I101">
        <v>285954</v>
      </c>
      <c r="J101" t="s">
        <v>32</v>
      </c>
      <c r="K101">
        <v>3</v>
      </c>
    </row>
    <row r="102" spans="1:11" x14ac:dyDescent="0.35">
      <c r="A102" t="s">
        <v>129</v>
      </c>
      <c r="B102" s="1">
        <v>45728</v>
      </c>
      <c r="C102" t="s">
        <v>12</v>
      </c>
      <c r="D102" t="s">
        <v>30</v>
      </c>
      <c r="E102">
        <v>943</v>
      </c>
      <c r="F102" t="s">
        <v>31</v>
      </c>
      <c r="G102" t="s">
        <v>15</v>
      </c>
      <c r="H102">
        <v>463684</v>
      </c>
      <c r="I102">
        <v>478626</v>
      </c>
      <c r="J102" t="s">
        <v>32</v>
      </c>
      <c r="K102">
        <v>3</v>
      </c>
    </row>
    <row r="103" spans="1:11" x14ac:dyDescent="0.35">
      <c r="A103" t="s">
        <v>130</v>
      </c>
      <c r="B103" s="1">
        <v>45723</v>
      </c>
      <c r="C103" t="s">
        <v>13</v>
      </c>
      <c r="D103" t="s">
        <v>38</v>
      </c>
      <c r="E103">
        <v>616</v>
      </c>
      <c r="F103" t="s">
        <v>43</v>
      </c>
      <c r="G103" t="s">
        <v>15</v>
      </c>
      <c r="H103">
        <v>269488</v>
      </c>
      <c r="I103">
        <v>234682</v>
      </c>
      <c r="J103" t="s">
        <v>32</v>
      </c>
      <c r="K103">
        <v>7</v>
      </c>
    </row>
    <row r="104" spans="1:11" x14ac:dyDescent="0.35">
      <c r="A104" t="s">
        <v>131</v>
      </c>
      <c r="B104" s="1">
        <v>45737</v>
      </c>
      <c r="C104" t="s">
        <v>13</v>
      </c>
      <c r="D104" t="s">
        <v>23</v>
      </c>
      <c r="E104">
        <v>946</v>
      </c>
      <c r="F104" t="s">
        <v>46</v>
      </c>
      <c r="G104" t="s">
        <v>15</v>
      </c>
      <c r="H104">
        <v>128418</v>
      </c>
      <c r="I104">
        <v>103004</v>
      </c>
      <c r="J104" t="s">
        <v>32</v>
      </c>
      <c r="K104">
        <v>5</v>
      </c>
    </row>
    <row r="105" spans="1:11" x14ac:dyDescent="0.35">
      <c r="A105" t="s">
        <v>132</v>
      </c>
      <c r="B105" s="1">
        <v>45714</v>
      </c>
      <c r="C105" t="s">
        <v>30</v>
      </c>
      <c r="D105" t="s">
        <v>18</v>
      </c>
      <c r="E105">
        <v>516</v>
      </c>
      <c r="F105" t="s">
        <v>19</v>
      </c>
      <c r="G105" t="s">
        <v>20</v>
      </c>
      <c r="H105">
        <v>240014</v>
      </c>
      <c r="I105">
        <v>262001</v>
      </c>
      <c r="J105" t="s">
        <v>32</v>
      </c>
      <c r="K105">
        <v>2</v>
      </c>
    </row>
    <row r="106" spans="1:11" x14ac:dyDescent="0.35">
      <c r="A106" t="s">
        <v>133</v>
      </c>
      <c r="B106" s="1">
        <v>45669</v>
      </c>
      <c r="C106" t="s">
        <v>30</v>
      </c>
      <c r="D106" t="s">
        <v>12</v>
      </c>
      <c r="E106">
        <v>424</v>
      </c>
      <c r="F106" t="s">
        <v>43</v>
      </c>
      <c r="G106" t="s">
        <v>20</v>
      </c>
      <c r="H106">
        <v>262922</v>
      </c>
      <c r="I106">
        <v>285121</v>
      </c>
      <c r="J106" t="s">
        <v>32</v>
      </c>
      <c r="K106">
        <v>1</v>
      </c>
    </row>
    <row r="107" spans="1:11" x14ac:dyDescent="0.35">
      <c r="A107" t="s">
        <v>134</v>
      </c>
      <c r="B107" s="1">
        <v>45695</v>
      </c>
      <c r="C107" t="s">
        <v>22</v>
      </c>
      <c r="D107" t="s">
        <v>30</v>
      </c>
      <c r="E107">
        <v>340</v>
      </c>
      <c r="F107" t="s">
        <v>43</v>
      </c>
      <c r="G107" t="s">
        <v>15</v>
      </c>
      <c r="H107">
        <v>439586</v>
      </c>
      <c r="I107">
        <v>498656</v>
      </c>
      <c r="J107" t="s">
        <v>32</v>
      </c>
      <c r="K107">
        <v>2</v>
      </c>
    </row>
    <row r="108" spans="1:11" x14ac:dyDescent="0.35">
      <c r="A108" t="s">
        <v>135</v>
      </c>
      <c r="B108" s="1">
        <v>45682</v>
      </c>
      <c r="C108" t="s">
        <v>38</v>
      </c>
      <c r="D108" t="s">
        <v>22</v>
      </c>
      <c r="E108">
        <v>599</v>
      </c>
      <c r="F108" t="s">
        <v>19</v>
      </c>
      <c r="G108" t="s">
        <v>15</v>
      </c>
      <c r="H108">
        <v>339487</v>
      </c>
      <c r="I108">
        <v>361742</v>
      </c>
      <c r="J108" t="s">
        <v>32</v>
      </c>
      <c r="K108">
        <v>2</v>
      </c>
    </row>
    <row r="109" spans="1:11" x14ac:dyDescent="0.35">
      <c r="A109" t="s">
        <v>136</v>
      </c>
      <c r="B109" s="1">
        <v>45658</v>
      </c>
      <c r="C109" t="s">
        <v>25</v>
      </c>
      <c r="D109" t="s">
        <v>30</v>
      </c>
      <c r="E109">
        <v>949</v>
      </c>
      <c r="F109" t="s">
        <v>43</v>
      </c>
      <c r="G109" t="s">
        <v>15</v>
      </c>
      <c r="H109">
        <v>278192</v>
      </c>
      <c r="I109">
        <v>350645</v>
      </c>
      <c r="J109" t="s">
        <v>32</v>
      </c>
      <c r="K109">
        <v>7</v>
      </c>
    </row>
    <row r="110" spans="1:11" x14ac:dyDescent="0.35">
      <c r="A110" t="s">
        <v>137</v>
      </c>
      <c r="B110" s="1">
        <v>45700</v>
      </c>
      <c r="C110" t="s">
        <v>38</v>
      </c>
      <c r="D110" t="s">
        <v>23</v>
      </c>
      <c r="E110">
        <v>404</v>
      </c>
      <c r="F110" t="s">
        <v>26</v>
      </c>
      <c r="G110" t="s">
        <v>15</v>
      </c>
      <c r="H110">
        <v>334119</v>
      </c>
      <c r="I110">
        <v>354711</v>
      </c>
      <c r="J110" t="s">
        <v>32</v>
      </c>
      <c r="K110">
        <v>4</v>
      </c>
    </row>
    <row r="111" spans="1:11" x14ac:dyDescent="0.35">
      <c r="A111" t="s">
        <v>138</v>
      </c>
      <c r="B111" s="1">
        <v>45663</v>
      </c>
      <c r="C111" t="s">
        <v>23</v>
      </c>
      <c r="D111" t="s">
        <v>22</v>
      </c>
      <c r="E111">
        <v>589</v>
      </c>
      <c r="F111" t="s">
        <v>26</v>
      </c>
      <c r="G111" t="s">
        <v>20</v>
      </c>
      <c r="H111">
        <v>399786</v>
      </c>
      <c r="I111">
        <v>399982</v>
      </c>
      <c r="J111" t="s">
        <v>32</v>
      </c>
      <c r="K111">
        <v>2</v>
      </c>
    </row>
    <row r="112" spans="1:11" x14ac:dyDescent="0.35">
      <c r="A112" t="s">
        <v>139</v>
      </c>
      <c r="B112" s="1">
        <v>45721</v>
      </c>
      <c r="C112" t="s">
        <v>18</v>
      </c>
      <c r="D112" t="s">
        <v>23</v>
      </c>
      <c r="E112">
        <v>890</v>
      </c>
      <c r="F112" t="s">
        <v>19</v>
      </c>
      <c r="G112" t="s">
        <v>15</v>
      </c>
      <c r="H112">
        <v>447964</v>
      </c>
      <c r="I112">
        <v>501824</v>
      </c>
      <c r="J112" t="s">
        <v>16</v>
      </c>
      <c r="K112">
        <v>7</v>
      </c>
    </row>
    <row r="113" spans="1:11" x14ac:dyDescent="0.35">
      <c r="A113" t="s">
        <v>140</v>
      </c>
      <c r="B113" s="1">
        <v>45725</v>
      </c>
      <c r="C113" t="s">
        <v>13</v>
      </c>
      <c r="D113" t="s">
        <v>25</v>
      </c>
      <c r="E113">
        <v>305</v>
      </c>
      <c r="F113" t="s">
        <v>46</v>
      </c>
      <c r="G113" t="s">
        <v>15</v>
      </c>
      <c r="H113">
        <v>558327</v>
      </c>
      <c r="I113">
        <v>619088</v>
      </c>
      <c r="J113" t="s">
        <v>16</v>
      </c>
      <c r="K113">
        <v>4</v>
      </c>
    </row>
    <row r="114" spans="1:11" x14ac:dyDescent="0.35">
      <c r="A114" t="s">
        <v>141</v>
      </c>
      <c r="B114" s="1">
        <v>45718</v>
      </c>
      <c r="C114" t="s">
        <v>30</v>
      </c>
      <c r="D114" t="s">
        <v>12</v>
      </c>
      <c r="E114">
        <v>939</v>
      </c>
      <c r="F114" t="s">
        <v>14</v>
      </c>
      <c r="G114" t="s">
        <v>20</v>
      </c>
      <c r="H114">
        <v>556619</v>
      </c>
      <c r="I114">
        <v>592442</v>
      </c>
      <c r="J114" t="s">
        <v>16</v>
      </c>
      <c r="K114">
        <v>2</v>
      </c>
    </row>
    <row r="115" spans="1:11" x14ac:dyDescent="0.35">
      <c r="A115" t="s">
        <v>142</v>
      </c>
      <c r="B115" s="1">
        <v>45698</v>
      </c>
      <c r="C115" t="s">
        <v>38</v>
      </c>
      <c r="D115" t="s">
        <v>25</v>
      </c>
      <c r="E115">
        <v>264</v>
      </c>
      <c r="F115" t="s">
        <v>46</v>
      </c>
      <c r="G115" t="s">
        <v>15</v>
      </c>
      <c r="H115">
        <v>546570</v>
      </c>
      <c r="I115">
        <v>539635</v>
      </c>
      <c r="J115" t="s">
        <v>32</v>
      </c>
      <c r="K115">
        <v>7</v>
      </c>
    </row>
    <row r="116" spans="1:11" x14ac:dyDescent="0.35">
      <c r="A116" t="s">
        <v>143</v>
      </c>
      <c r="B116" s="1">
        <v>45687</v>
      </c>
      <c r="C116" t="s">
        <v>30</v>
      </c>
      <c r="D116" t="s">
        <v>23</v>
      </c>
      <c r="E116">
        <v>240</v>
      </c>
      <c r="F116" t="s">
        <v>46</v>
      </c>
      <c r="G116" t="s">
        <v>20</v>
      </c>
      <c r="H116">
        <v>223087</v>
      </c>
      <c r="I116">
        <v>255814</v>
      </c>
      <c r="J116" t="s">
        <v>32</v>
      </c>
      <c r="K116">
        <v>6</v>
      </c>
    </row>
    <row r="117" spans="1:11" x14ac:dyDescent="0.35">
      <c r="A117" t="s">
        <v>144</v>
      </c>
      <c r="B117" s="1">
        <v>45663</v>
      </c>
      <c r="C117" t="s">
        <v>12</v>
      </c>
      <c r="D117" t="s">
        <v>38</v>
      </c>
      <c r="E117">
        <v>1008</v>
      </c>
      <c r="F117" t="s">
        <v>43</v>
      </c>
      <c r="G117" t="s">
        <v>20</v>
      </c>
      <c r="H117">
        <v>187223</v>
      </c>
      <c r="I117">
        <v>228187</v>
      </c>
      <c r="J117" t="s">
        <v>16</v>
      </c>
      <c r="K117">
        <v>3</v>
      </c>
    </row>
    <row r="118" spans="1:11" x14ac:dyDescent="0.35">
      <c r="A118" t="s">
        <v>145</v>
      </c>
      <c r="B118" s="1">
        <v>45725</v>
      </c>
      <c r="C118" t="s">
        <v>18</v>
      </c>
      <c r="D118" t="s">
        <v>30</v>
      </c>
      <c r="E118">
        <v>834</v>
      </c>
      <c r="F118" t="s">
        <v>43</v>
      </c>
      <c r="G118" t="s">
        <v>15</v>
      </c>
      <c r="H118">
        <v>296524</v>
      </c>
      <c r="I118">
        <v>302974</v>
      </c>
      <c r="J118" t="s">
        <v>16</v>
      </c>
      <c r="K118">
        <v>2</v>
      </c>
    </row>
    <row r="119" spans="1:11" x14ac:dyDescent="0.35">
      <c r="A119" t="s">
        <v>146</v>
      </c>
      <c r="B119" s="1">
        <v>45737</v>
      </c>
      <c r="C119" t="s">
        <v>23</v>
      </c>
      <c r="D119" t="s">
        <v>38</v>
      </c>
      <c r="E119">
        <v>448</v>
      </c>
      <c r="F119" t="s">
        <v>14</v>
      </c>
      <c r="G119" t="s">
        <v>20</v>
      </c>
      <c r="H119">
        <v>191786</v>
      </c>
      <c r="I119">
        <v>152136</v>
      </c>
      <c r="J119" t="s">
        <v>32</v>
      </c>
      <c r="K119">
        <v>5</v>
      </c>
    </row>
    <row r="120" spans="1:11" x14ac:dyDescent="0.35">
      <c r="A120" t="s">
        <v>147</v>
      </c>
      <c r="B120" s="1">
        <v>45690</v>
      </c>
      <c r="C120" t="s">
        <v>22</v>
      </c>
      <c r="D120" t="s">
        <v>38</v>
      </c>
      <c r="E120">
        <v>575</v>
      </c>
      <c r="F120" t="s">
        <v>46</v>
      </c>
      <c r="G120" t="s">
        <v>20</v>
      </c>
      <c r="H120">
        <v>341775</v>
      </c>
      <c r="I120">
        <v>375386</v>
      </c>
      <c r="J120" t="s">
        <v>32</v>
      </c>
      <c r="K120">
        <v>3</v>
      </c>
    </row>
    <row r="121" spans="1:11" x14ac:dyDescent="0.35">
      <c r="A121" t="s">
        <v>148</v>
      </c>
      <c r="B121" s="1">
        <v>45739</v>
      </c>
      <c r="C121" t="s">
        <v>13</v>
      </c>
      <c r="D121" t="s">
        <v>30</v>
      </c>
      <c r="E121">
        <v>423</v>
      </c>
      <c r="F121" t="s">
        <v>19</v>
      </c>
      <c r="G121" t="s">
        <v>15</v>
      </c>
      <c r="H121">
        <v>138724</v>
      </c>
      <c r="I121">
        <v>146622</v>
      </c>
      <c r="J121" t="s">
        <v>32</v>
      </c>
      <c r="K121">
        <v>3</v>
      </c>
    </row>
    <row r="122" spans="1:11" x14ac:dyDescent="0.35">
      <c r="A122" t="s">
        <v>149</v>
      </c>
      <c r="B122" s="1">
        <v>45671</v>
      </c>
      <c r="C122" t="s">
        <v>23</v>
      </c>
      <c r="D122" t="s">
        <v>18</v>
      </c>
      <c r="E122">
        <v>718</v>
      </c>
      <c r="F122" t="s">
        <v>26</v>
      </c>
      <c r="G122" t="s">
        <v>15</v>
      </c>
      <c r="H122">
        <v>204447</v>
      </c>
      <c r="I122">
        <v>204869</v>
      </c>
      <c r="J122" t="s">
        <v>32</v>
      </c>
      <c r="K122">
        <v>7</v>
      </c>
    </row>
    <row r="123" spans="1:11" x14ac:dyDescent="0.35">
      <c r="A123" t="s">
        <v>150</v>
      </c>
      <c r="B123" s="1">
        <v>45693</v>
      </c>
      <c r="C123" t="s">
        <v>22</v>
      </c>
      <c r="D123" t="s">
        <v>38</v>
      </c>
      <c r="E123">
        <v>705</v>
      </c>
      <c r="F123" t="s">
        <v>46</v>
      </c>
      <c r="G123" t="s">
        <v>15</v>
      </c>
      <c r="H123">
        <v>466623</v>
      </c>
      <c r="I123">
        <v>455319</v>
      </c>
      <c r="J123" t="s">
        <v>32</v>
      </c>
      <c r="K123">
        <v>1</v>
      </c>
    </row>
    <row r="124" spans="1:11" x14ac:dyDescent="0.35">
      <c r="A124" t="s">
        <v>151</v>
      </c>
      <c r="B124" s="1">
        <v>45735</v>
      </c>
      <c r="C124" t="s">
        <v>13</v>
      </c>
      <c r="D124" t="s">
        <v>18</v>
      </c>
      <c r="E124">
        <v>1117</v>
      </c>
      <c r="F124" t="s">
        <v>14</v>
      </c>
      <c r="G124" t="s">
        <v>20</v>
      </c>
      <c r="H124">
        <v>536647</v>
      </c>
      <c r="I124">
        <v>605156</v>
      </c>
      <c r="J124" t="s">
        <v>16</v>
      </c>
      <c r="K124">
        <v>3</v>
      </c>
    </row>
    <row r="125" spans="1:11" x14ac:dyDescent="0.35">
      <c r="A125" t="s">
        <v>152</v>
      </c>
      <c r="B125" s="1">
        <v>45738</v>
      </c>
      <c r="C125" t="s">
        <v>18</v>
      </c>
      <c r="D125" t="s">
        <v>13</v>
      </c>
      <c r="E125">
        <v>613</v>
      </c>
      <c r="F125" t="s">
        <v>14</v>
      </c>
      <c r="G125" t="s">
        <v>20</v>
      </c>
      <c r="H125">
        <v>455343</v>
      </c>
      <c r="I125">
        <v>504378</v>
      </c>
      <c r="J125" t="s">
        <v>16</v>
      </c>
      <c r="K125">
        <v>6</v>
      </c>
    </row>
    <row r="126" spans="1:11" x14ac:dyDescent="0.35">
      <c r="A126" t="s">
        <v>153</v>
      </c>
      <c r="B126" s="1">
        <v>45674</v>
      </c>
      <c r="C126" t="s">
        <v>12</v>
      </c>
      <c r="D126" t="s">
        <v>23</v>
      </c>
      <c r="E126">
        <v>732</v>
      </c>
      <c r="F126" t="s">
        <v>14</v>
      </c>
      <c r="G126" t="s">
        <v>20</v>
      </c>
      <c r="H126">
        <v>513459</v>
      </c>
      <c r="I126">
        <v>521238</v>
      </c>
      <c r="J126" t="s">
        <v>32</v>
      </c>
      <c r="K126">
        <v>1</v>
      </c>
    </row>
    <row r="127" spans="1:11" x14ac:dyDescent="0.35">
      <c r="A127" t="s">
        <v>154</v>
      </c>
      <c r="B127" s="1">
        <v>45725</v>
      </c>
      <c r="C127" t="s">
        <v>12</v>
      </c>
      <c r="D127" t="s">
        <v>22</v>
      </c>
      <c r="E127">
        <v>459</v>
      </c>
      <c r="F127" t="s">
        <v>26</v>
      </c>
      <c r="G127" t="s">
        <v>15</v>
      </c>
      <c r="H127">
        <v>205274</v>
      </c>
      <c r="I127">
        <v>172596</v>
      </c>
      <c r="J127" t="s">
        <v>32</v>
      </c>
      <c r="K127">
        <v>7</v>
      </c>
    </row>
    <row r="128" spans="1:11" x14ac:dyDescent="0.35">
      <c r="A128" t="s">
        <v>155</v>
      </c>
      <c r="B128" s="1">
        <v>45672</v>
      </c>
      <c r="C128" t="s">
        <v>38</v>
      </c>
      <c r="D128" t="s">
        <v>30</v>
      </c>
      <c r="E128">
        <v>1086</v>
      </c>
      <c r="F128" t="s">
        <v>31</v>
      </c>
      <c r="G128" t="s">
        <v>15</v>
      </c>
      <c r="H128">
        <v>522832</v>
      </c>
      <c r="I128">
        <v>511516</v>
      </c>
      <c r="J128" t="s">
        <v>32</v>
      </c>
      <c r="K128">
        <v>6</v>
      </c>
    </row>
    <row r="129" spans="1:11" x14ac:dyDescent="0.35">
      <c r="A129" t="s">
        <v>156</v>
      </c>
      <c r="B129" s="1">
        <v>45669</v>
      </c>
      <c r="C129" t="s">
        <v>30</v>
      </c>
      <c r="D129" t="s">
        <v>12</v>
      </c>
      <c r="E129">
        <v>913</v>
      </c>
      <c r="F129" t="s">
        <v>31</v>
      </c>
      <c r="G129" t="s">
        <v>20</v>
      </c>
      <c r="H129">
        <v>543413</v>
      </c>
      <c r="I129">
        <v>598871</v>
      </c>
      <c r="J129" t="s">
        <v>32</v>
      </c>
      <c r="K129">
        <v>5</v>
      </c>
    </row>
    <row r="130" spans="1:11" x14ac:dyDescent="0.35">
      <c r="A130" t="s">
        <v>157</v>
      </c>
      <c r="B130" s="1">
        <v>45732</v>
      </c>
      <c r="C130" t="s">
        <v>23</v>
      </c>
      <c r="D130" t="s">
        <v>12</v>
      </c>
      <c r="E130">
        <v>1031</v>
      </c>
      <c r="F130" t="s">
        <v>26</v>
      </c>
      <c r="G130" t="s">
        <v>20</v>
      </c>
      <c r="H130">
        <v>293245</v>
      </c>
      <c r="I130">
        <v>331433</v>
      </c>
      <c r="J130" t="s">
        <v>32</v>
      </c>
      <c r="K130">
        <v>6</v>
      </c>
    </row>
    <row r="131" spans="1:11" x14ac:dyDescent="0.35">
      <c r="A131" t="s">
        <v>158</v>
      </c>
      <c r="B131" s="1">
        <v>45737</v>
      </c>
      <c r="C131" t="s">
        <v>23</v>
      </c>
      <c r="D131" t="s">
        <v>30</v>
      </c>
      <c r="E131">
        <v>321</v>
      </c>
      <c r="F131" t="s">
        <v>14</v>
      </c>
      <c r="G131" t="s">
        <v>15</v>
      </c>
      <c r="H131">
        <v>453808</v>
      </c>
      <c r="I131">
        <v>434455</v>
      </c>
      <c r="J131" t="s">
        <v>16</v>
      </c>
      <c r="K131">
        <v>4</v>
      </c>
    </row>
    <row r="132" spans="1:11" x14ac:dyDescent="0.35">
      <c r="A132" t="s">
        <v>159</v>
      </c>
      <c r="B132" s="1">
        <v>45672</v>
      </c>
      <c r="C132" t="s">
        <v>18</v>
      </c>
      <c r="D132" t="s">
        <v>38</v>
      </c>
      <c r="E132">
        <v>1050</v>
      </c>
      <c r="F132" t="s">
        <v>31</v>
      </c>
      <c r="G132" t="s">
        <v>20</v>
      </c>
      <c r="H132">
        <v>576781</v>
      </c>
      <c r="I132">
        <v>618672</v>
      </c>
      <c r="J132" t="s">
        <v>32</v>
      </c>
      <c r="K132">
        <v>3</v>
      </c>
    </row>
    <row r="133" spans="1:11" x14ac:dyDescent="0.35">
      <c r="A133" t="s">
        <v>160</v>
      </c>
      <c r="B133" s="1">
        <v>45707</v>
      </c>
      <c r="C133" t="s">
        <v>25</v>
      </c>
      <c r="D133" t="s">
        <v>12</v>
      </c>
      <c r="E133">
        <v>1108</v>
      </c>
      <c r="F133" t="s">
        <v>43</v>
      </c>
      <c r="G133" t="s">
        <v>15</v>
      </c>
      <c r="H133">
        <v>160880</v>
      </c>
      <c r="I133">
        <v>123619</v>
      </c>
      <c r="J133" t="s">
        <v>16</v>
      </c>
      <c r="K133">
        <v>2</v>
      </c>
    </row>
    <row r="134" spans="1:11" x14ac:dyDescent="0.35">
      <c r="A134" t="s">
        <v>161</v>
      </c>
      <c r="B134" s="1">
        <v>45720</v>
      </c>
      <c r="C134" t="s">
        <v>30</v>
      </c>
      <c r="D134" t="s">
        <v>25</v>
      </c>
      <c r="E134">
        <v>416</v>
      </c>
      <c r="F134" t="s">
        <v>14</v>
      </c>
      <c r="G134" t="s">
        <v>15</v>
      </c>
      <c r="H134">
        <v>564211</v>
      </c>
      <c r="I134">
        <v>568590</v>
      </c>
      <c r="J134" t="s">
        <v>16</v>
      </c>
      <c r="K134">
        <v>6</v>
      </c>
    </row>
    <row r="135" spans="1:11" x14ac:dyDescent="0.35">
      <c r="A135" t="s">
        <v>162</v>
      </c>
      <c r="B135" s="1">
        <v>45670</v>
      </c>
      <c r="C135" t="s">
        <v>23</v>
      </c>
      <c r="D135" t="s">
        <v>25</v>
      </c>
      <c r="E135">
        <v>544</v>
      </c>
      <c r="F135" t="s">
        <v>43</v>
      </c>
      <c r="G135" t="s">
        <v>15</v>
      </c>
      <c r="H135">
        <v>332460</v>
      </c>
      <c r="I135">
        <v>340747</v>
      </c>
      <c r="J135" t="s">
        <v>32</v>
      </c>
      <c r="K135">
        <v>2</v>
      </c>
    </row>
    <row r="136" spans="1:11" x14ac:dyDescent="0.35">
      <c r="A136" t="s">
        <v>163</v>
      </c>
      <c r="B136" s="1">
        <v>45716</v>
      </c>
      <c r="C136" t="s">
        <v>18</v>
      </c>
      <c r="D136" t="s">
        <v>38</v>
      </c>
      <c r="E136">
        <v>224</v>
      </c>
      <c r="F136" t="s">
        <v>14</v>
      </c>
      <c r="G136" t="s">
        <v>15</v>
      </c>
      <c r="H136">
        <v>308739</v>
      </c>
      <c r="I136">
        <v>294899</v>
      </c>
      <c r="J136" t="s">
        <v>16</v>
      </c>
      <c r="K136">
        <v>2</v>
      </c>
    </row>
    <row r="137" spans="1:11" x14ac:dyDescent="0.35">
      <c r="A137" t="s">
        <v>164</v>
      </c>
      <c r="B137" s="1">
        <v>45730</v>
      </c>
      <c r="C137" t="s">
        <v>12</v>
      </c>
      <c r="D137" t="s">
        <v>23</v>
      </c>
      <c r="E137">
        <v>203</v>
      </c>
      <c r="F137" t="s">
        <v>31</v>
      </c>
      <c r="G137" t="s">
        <v>20</v>
      </c>
      <c r="H137">
        <v>512506</v>
      </c>
      <c r="I137">
        <v>506219</v>
      </c>
      <c r="J137" t="s">
        <v>16</v>
      </c>
      <c r="K137">
        <v>2</v>
      </c>
    </row>
    <row r="138" spans="1:11" x14ac:dyDescent="0.35">
      <c r="A138" t="s">
        <v>165</v>
      </c>
      <c r="B138" s="1">
        <v>45676</v>
      </c>
      <c r="C138" t="s">
        <v>22</v>
      </c>
      <c r="D138" t="s">
        <v>12</v>
      </c>
      <c r="E138">
        <v>542</v>
      </c>
      <c r="F138" t="s">
        <v>46</v>
      </c>
      <c r="G138" t="s">
        <v>20</v>
      </c>
      <c r="H138">
        <v>526273</v>
      </c>
      <c r="I138">
        <v>590265</v>
      </c>
      <c r="J138" t="s">
        <v>32</v>
      </c>
      <c r="K138">
        <v>2</v>
      </c>
    </row>
    <row r="139" spans="1:11" x14ac:dyDescent="0.35">
      <c r="A139" t="s">
        <v>166</v>
      </c>
      <c r="B139" s="1">
        <v>45674</v>
      </c>
      <c r="C139" t="s">
        <v>13</v>
      </c>
      <c r="D139" t="s">
        <v>22</v>
      </c>
      <c r="E139">
        <v>613</v>
      </c>
      <c r="F139" t="s">
        <v>31</v>
      </c>
      <c r="G139" t="s">
        <v>20</v>
      </c>
      <c r="H139">
        <v>518651</v>
      </c>
      <c r="I139">
        <v>491522</v>
      </c>
      <c r="J139" t="s">
        <v>16</v>
      </c>
      <c r="K139">
        <v>1</v>
      </c>
    </row>
    <row r="140" spans="1:11" x14ac:dyDescent="0.35">
      <c r="A140" t="s">
        <v>167</v>
      </c>
      <c r="B140" s="1">
        <v>45711</v>
      </c>
      <c r="C140" t="s">
        <v>13</v>
      </c>
      <c r="D140" t="s">
        <v>22</v>
      </c>
      <c r="E140">
        <v>132</v>
      </c>
      <c r="F140" t="s">
        <v>31</v>
      </c>
      <c r="G140" t="s">
        <v>15</v>
      </c>
      <c r="H140">
        <v>191355</v>
      </c>
      <c r="I140">
        <v>176137</v>
      </c>
      <c r="J140" t="s">
        <v>16</v>
      </c>
      <c r="K140">
        <v>1</v>
      </c>
    </row>
    <row r="141" spans="1:11" x14ac:dyDescent="0.35">
      <c r="A141" t="s">
        <v>168</v>
      </c>
      <c r="B141" s="1">
        <v>45715</v>
      </c>
      <c r="C141" t="s">
        <v>12</v>
      </c>
      <c r="D141" t="s">
        <v>23</v>
      </c>
      <c r="E141">
        <v>1018</v>
      </c>
      <c r="F141" t="s">
        <v>43</v>
      </c>
      <c r="G141" t="s">
        <v>15</v>
      </c>
      <c r="H141">
        <v>507904</v>
      </c>
      <c r="I141">
        <v>505357</v>
      </c>
      <c r="J141" t="s">
        <v>16</v>
      </c>
      <c r="K141">
        <v>5</v>
      </c>
    </row>
    <row r="142" spans="1:11" x14ac:dyDescent="0.35">
      <c r="A142" t="s">
        <v>169</v>
      </c>
      <c r="B142" s="1">
        <v>45719</v>
      </c>
      <c r="C142" t="s">
        <v>22</v>
      </c>
      <c r="D142" t="s">
        <v>18</v>
      </c>
      <c r="E142">
        <v>1038</v>
      </c>
      <c r="F142" t="s">
        <v>43</v>
      </c>
      <c r="G142" t="s">
        <v>15</v>
      </c>
      <c r="H142">
        <v>437295</v>
      </c>
      <c r="I142">
        <v>513651</v>
      </c>
      <c r="J142" t="s">
        <v>16</v>
      </c>
      <c r="K142">
        <v>1</v>
      </c>
    </row>
    <row r="143" spans="1:11" x14ac:dyDescent="0.35">
      <c r="A143" t="s">
        <v>170</v>
      </c>
      <c r="B143" s="1">
        <v>45668</v>
      </c>
      <c r="C143" t="s">
        <v>23</v>
      </c>
      <c r="D143" t="s">
        <v>22</v>
      </c>
      <c r="E143">
        <v>1104</v>
      </c>
      <c r="F143" t="s">
        <v>14</v>
      </c>
      <c r="G143" t="s">
        <v>20</v>
      </c>
      <c r="H143">
        <v>473503</v>
      </c>
      <c r="I143">
        <v>542739</v>
      </c>
      <c r="J143" t="s">
        <v>16</v>
      </c>
      <c r="K143">
        <v>4</v>
      </c>
    </row>
    <row r="144" spans="1:11" x14ac:dyDescent="0.35">
      <c r="A144" t="s">
        <v>171</v>
      </c>
      <c r="B144" s="1">
        <v>45706</v>
      </c>
      <c r="C144" t="s">
        <v>18</v>
      </c>
      <c r="D144" t="s">
        <v>38</v>
      </c>
      <c r="E144">
        <v>358</v>
      </c>
      <c r="F144" t="s">
        <v>31</v>
      </c>
      <c r="G144" t="s">
        <v>20</v>
      </c>
      <c r="H144">
        <v>244187</v>
      </c>
      <c r="I144">
        <v>276017</v>
      </c>
      <c r="J144" t="s">
        <v>32</v>
      </c>
      <c r="K144">
        <v>6</v>
      </c>
    </row>
    <row r="145" spans="1:11" x14ac:dyDescent="0.35">
      <c r="A145" t="s">
        <v>172</v>
      </c>
      <c r="B145" s="1">
        <v>45713</v>
      </c>
      <c r="C145" t="s">
        <v>38</v>
      </c>
      <c r="D145" t="s">
        <v>22</v>
      </c>
      <c r="E145">
        <v>303</v>
      </c>
      <c r="F145" t="s">
        <v>46</v>
      </c>
      <c r="G145" t="s">
        <v>15</v>
      </c>
      <c r="H145">
        <v>515810</v>
      </c>
      <c r="I145">
        <v>557793</v>
      </c>
      <c r="J145" t="s">
        <v>16</v>
      </c>
      <c r="K145">
        <v>1</v>
      </c>
    </row>
    <row r="146" spans="1:11" x14ac:dyDescent="0.35">
      <c r="A146" t="s">
        <v>173</v>
      </c>
      <c r="B146" s="1">
        <v>45698</v>
      </c>
      <c r="C146" t="s">
        <v>30</v>
      </c>
      <c r="D146" t="s">
        <v>13</v>
      </c>
      <c r="E146">
        <v>1028</v>
      </c>
      <c r="F146" t="s">
        <v>19</v>
      </c>
      <c r="G146" t="s">
        <v>15</v>
      </c>
      <c r="H146">
        <v>309049</v>
      </c>
      <c r="I146">
        <v>313573</v>
      </c>
      <c r="J146" t="s">
        <v>16</v>
      </c>
      <c r="K146">
        <v>6</v>
      </c>
    </row>
    <row r="147" spans="1:11" x14ac:dyDescent="0.35">
      <c r="A147" t="s">
        <v>174</v>
      </c>
      <c r="B147" s="1">
        <v>45666</v>
      </c>
      <c r="C147" t="s">
        <v>23</v>
      </c>
      <c r="D147" t="s">
        <v>25</v>
      </c>
      <c r="E147">
        <v>866</v>
      </c>
      <c r="F147" t="s">
        <v>14</v>
      </c>
      <c r="G147" t="s">
        <v>15</v>
      </c>
      <c r="H147">
        <v>599957</v>
      </c>
      <c r="I147">
        <v>569963</v>
      </c>
      <c r="J147" t="s">
        <v>32</v>
      </c>
      <c r="K147">
        <v>6</v>
      </c>
    </row>
    <row r="148" spans="1:11" x14ac:dyDescent="0.35">
      <c r="A148" t="s">
        <v>175</v>
      </c>
      <c r="B148" s="1">
        <v>45674</v>
      </c>
      <c r="C148" t="s">
        <v>12</v>
      </c>
      <c r="D148" t="s">
        <v>30</v>
      </c>
      <c r="E148">
        <v>984</v>
      </c>
      <c r="F148" t="s">
        <v>43</v>
      </c>
      <c r="G148" t="s">
        <v>20</v>
      </c>
      <c r="H148">
        <v>150627</v>
      </c>
      <c r="I148">
        <v>198221</v>
      </c>
      <c r="J148" t="s">
        <v>32</v>
      </c>
      <c r="K148">
        <v>6</v>
      </c>
    </row>
    <row r="149" spans="1:11" x14ac:dyDescent="0.35">
      <c r="A149" t="s">
        <v>176</v>
      </c>
      <c r="B149" s="1">
        <v>45664</v>
      </c>
      <c r="C149" t="s">
        <v>13</v>
      </c>
      <c r="D149" t="s">
        <v>18</v>
      </c>
      <c r="E149">
        <v>350</v>
      </c>
      <c r="F149" t="s">
        <v>46</v>
      </c>
      <c r="G149" t="s">
        <v>15</v>
      </c>
      <c r="H149">
        <v>315382</v>
      </c>
      <c r="I149">
        <v>311728</v>
      </c>
      <c r="J149" t="s">
        <v>32</v>
      </c>
      <c r="K149">
        <v>7</v>
      </c>
    </row>
    <row r="150" spans="1:11" x14ac:dyDescent="0.35">
      <c r="A150" t="s">
        <v>177</v>
      </c>
      <c r="B150" s="1">
        <v>45742</v>
      </c>
      <c r="C150" t="s">
        <v>38</v>
      </c>
      <c r="D150" t="s">
        <v>18</v>
      </c>
      <c r="E150">
        <v>312</v>
      </c>
      <c r="F150" t="s">
        <v>26</v>
      </c>
      <c r="G150" t="s">
        <v>15</v>
      </c>
      <c r="H150">
        <v>402995</v>
      </c>
      <c r="I150">
        <v>419502</v>
      </c>
      <c r="J150" t="s">
        <v>16</v>
      </c>
      <c r="K150">
        <v>2</v>
      </c>
    </row>
    <row r="151" spans="1:11" x14ac:dyDescent="0.35">
      <c r="A151" t="s">
        <v>178</v>
      </c>
      <c r="B151" s="1">
        <v>45712</v>
      </c>
      <c r="C151" t="s">
        <v>30</v>
      </c>
      <c r="D151" t="s">
        <v>13</v>
      </c>
      <c r="E151">
        <v>852</v>
      </c>
      <c r="F151" t="s">
        <v>43</v>
      </c>
      <c r="G151" t="s">
        <v>15</v>
      </c>
      <c r="H151">
        <v>160232</v>
      </c>
      <c r="I151">
        <v>210188</v>
      </c>
      <c r="J151" t="s">
        <v>16</v>
      </c>
      <c r="K151">
        <v>3</v>
      </c>
    </row>
    <row r="152" spans="1:11" x14ac:dyDescent="0.35">
      <c r="A152" t="s">
        <v>179</v>
      </c>
      <c r="B152" s="1">
        <v>45701</v>
      </c>
      <c r="C152" t="s">
        <v>13</v>
      </c>
      <c r="D152" t="s">
        <v>18</v>
      </c>
      <c r="E152">
        <v>159</v>
      </c>
      <c r="F152" t="s">
        <v>14</v>
      </c>
      <c r="G152" t="s">
        <v>15</v>
      </c>
      <c r="H152">
        <v>194589</v>
      </c>
      <c r="I152">
        <v>180407</v>
      </c>
      <c r="J152" t="s">
        <v>32</v>
      </c>
      <c r="K152">
        <v>6</v>
      </c>
    </row>
    <row r="153" spans="1:11" x14ac:dyDescent="0.35">
      <c r="A153" t="s">
        <v>180</v>
      </c>
      <c r="B153" s="1">
        <v>45669</v>
      </c>
      <c r="C153" t="s">
        <v>18</v>
      </c>
      <c r="D153" t="s">
        <v>12</v>
      </c>
      <c r="E153">
        <v>920</v>
      </c>
      <c r="F153" t="s">
        <v>31</v>
      </c>
      <c r="G153" t="s">
        <v>20</v>
      </c>
      <c r="H153">
        <v>136482</v>
      </c>
      <c r="I153">
        <v>105077</v>
      </c>
      <c r="J153" t="s">
        <v>16</v>
      </c>
      <c r="K153">
        <v>6</v>
      </c>
    </row>
    <row r="154" spans="1:11" x14ac:dyDescent="0.35">
      <c r="A154" t="s">
        <v>181</v>
      </c>
      <c r="B154" s="1">
        <v>45730</v>
      </c>
      <c r="C154" t="s">
        <v>22</v>
      </c>
      <c r="D154" t="s">
        <v>38</v>
      </c>
      <c r="E154">
        <v>798</v>
      </c>
      <c r="F154" t="s">
        <v>19</v>
      </c>
      <c r="G154" t="s">
        <v>15</v>
      </c>
      <c r="H154">
        <v>182527</v>
      </c>
      <c r="I154">
        <v>181030</v>
      </c>
      <c r="J154" t="s">
        <v>32</v>
      </c>
      <c r="K154">
        <v>3</v>
      </c>
    </row>
    <row r="155" spans="1:11" x14ac:dyDescent="0.35">
      <c r="A155" t="s">
        <v>182</v>
      </c>
      <c r="B155" s="1">
        <v>45742</v>
      </c>
      <c r="C155" t="s">
        <v>12</v>
      </c>
      <c r="D155" t="s">
        <v>13</v>
      </c>
      <c r="E155">
        <v>201</v>
      </c>
      <c r="F155" t="s">
        <v>31</v>
      </c>
      <c r="G155" t="s">
        <v>20</v>
      </c>
      <c r="H155">
        <v>453353</v>
      </c>
      <c r="I155">
        <v>414046</v>
      </c>
      <c r="J155" t="s">
        <v>32</v>
      </c>
      <c r="K155">
        <v>3</v>
      </c>
    </row>
    <row r="156" spans="1:11" x14ac:dyDescent="0.35">
      <c r="A156" t="s">
        <v>183</v>
      </c>
      <c r="B156" s="1">
        <v>45702</v>
      </c>
      <c r="C156" t="s">
        <v>23</v>
      </c>
      <c r="D156" t="s">
        <v>22</v>
      </c>
      <c r="E156">
        <v>948</v>
      </c>
      <c r="F156" t="s">
        <v>46</v>
      </c>
      <c r="G156" t="s">
        <v>15</v>
      </c>
      <c r="H156">
        <v>243218</v>
      </c>
      <c r="I156">
        <v>221473</v>
      </c>
      <c r="J156" t="s">
        <v>16</v>
      </c>
      <c r="K156">
        <v>7</v>
      </c>
    </row>
    <row r="157" spans="1:11" x14ac:dyDescent="0.35">
      <c r="A157" t="s">
        <v>184</v>
      </c>
      <c r="B157" s="1">
        <v>45708</v>
      </c>
      <c r="C157" t="s">
        <v>23</v>
      </c>
      <c r="D157" t="s">
        <v>12</v>
      </c>
      <c r="E157">
        <v>1179</v>
      </c>
      <c r="F157" t="s">
        <v>26</v>
      </c>
      <c r="G157" t="s">
        <v>15</v>
      </c>
      <c r="H157">
        <v>449769</v>
      </c>
      <c r="I157">
        <v>440194</v>
      </c>
      <c r="J157" t="s">
        <v>16</v>
      </c>
      <c r="K157">
        <v>1</v>
      </c>
    </row>
    <row r="158" spans="1:11" x14ac:dyDescent="0.35">
      <c r="A158" t="s">
        <v>185</v>
      </c>
      <c r="B158" s="1">
        <v>45695</v>
      </c>
      <c r="C158" t="s">
        <v>13</v>
      </c>
      <c r="D158" t="s">
        <v>12</v>
      </c>
      <c r="E158">
        <v>532</v>
      </c>
      <c r="F158" t="s">
        <v>31</v>
      </c>
      <c r="G158" t="s">
        <v>15</v>
      </c>
      <c r="H158">
        <v>502312</v>
      </c>
      <c r="I158">
        <v>470299</v>
      </c>
      <c r="J158" t="s">
        <v>32</v>
      </c>
      <c r="K158">
        <v>7</v>
      </c>
    </row>
    <row r="159" spans="1:11" x14ac:dyDescent="0.35">
      <c r="A159" t="s">
        <v>186</v>
      </c>
      <c r="B159" s="1">
        <v>45722</v>
      </c>
      <c r="C159" t="s">
        <v>18</v>
      </c>
      <c r="D159" t="s">
        <v>12</v>
      </c>
      <c r="E159">
        <v>981</v>
      </c>
      <c r="F159" t="s">
        <v>43</v>
      </c>
      <c r="G159" t="s">
        <v>15</v>
      </c>
      <c r="H159">
        <v>192114</v>
      </c>
      <c r="I159">
        <v>159046</v>
      </c>
      <c r="J159" t="s">
        <v>16</v>
      </c>
      <c r="K159">
        <v>4</v>
      </c>
    </row>
    <row r="160" spans="1:11" x14ac:dyDescent="0.35">
      <c r="A160" t="s">
        <v>187</v>
      </c>
      <c r="B160" s="1">
        <v>45731</v>
      </c>
      <c r="C160" t="s">
        <v>18</v>
      </c>
      <c r="D160" t="s">
        <v>12</v>
      </c>
      <c r="E160">
        <v>993</v>
      </c>
      <c r="F160" t="s">
        <v>19</v>
      </c>
      <c r="G160" t="s">
        <v>20</v>
      </c>
      <c r="H160">
        <v>109825</v>
      </c>
      <c r="I160">
        <v>120085</v>
      </c>
      <c r="J160" t="s">
        <v>32</v>
      </c>
      <c r="K160">
        <v>1</v>
      </c>
    </row>
    <row r="161" spans="1:11" x14ac:dyDescent="0.35">
      <c r="A161" t="s">
        <v>188</v>
      </c>
      <c r="B161" s="1">
        <v>45679</v>
      </c>
      <c r="C161" t="s">
        <v>23</v>
      </c>
      <c r="D161" t="s">
        <v>38</v>
      </c>
      <c r="E161">
        <v>692</v>
      </c>
      <c r="F161" t="s">
        <v>19</v>
      </c>
      <c r="G161" t="s">
        <v>15</v>
      </c>
      <c r="H161">
        <v>160384</v>
      </c>
      <c r="I161">
        <v>163472</v>
      </c>
      <c r="J161" t="s">
        <v>32</v>
      </c>
      <c r="K161">
        <v>1</v>
      </c>
    </row>
    <row r="162" spans="1:11" x14ac:dyDescent="0.35">
      <c r="A162" t="s">
        <v>189</v>
      </c>
      <c r="B162" s="1">
        <v>45713</v>
      </c>
      <c r="C162" t="s">
        <v>30</v>
      </c>
      <c r="D162" t="s">
        <v>23</v>
      </c>
      <c r="E162">
        <v>280</v>
      </c>
      <c r="F162" t="s">
        <v>14</v>
      </c>
      <c r="G162" t="s">
        <v>15</v>
      </c>
      <c r="H162">
        <v>328962</v>
      </c>
      <c r="I162">
        <v>389650</v>
      </c>
      <c r="J162" t="s">
        <v>16</v>
      </c>
      <c r="K162">
        <v>1</v>
      </c>
    </row>
    <row r="163" spans="1:11" x14ac:dyDescent="0.35">
      <c r="A163" t="s">
        <v>190</v>
      </c>
      <c r="B163" s="1">
        <v>45679</v>
      </c>
      <c r="C163" t="s">
        <v>23</v>
      </c>
      <c r="D163" t="s">
        <v>38</v>
      </c>
      <c r="E163">
        <v>735</v>
      </c>
      <c r="F163" t="s">
        <v>43</v>
      </c>
      <c r="G163" t="s">
        <v>15</v>
      </c>
      <c r="H163">
        <v>491016</v>
      </c>
      <c r="I163">
        <v>485516</v>
      </c>
      <c r="J163" t="s">
        <v>32</v>
      </c>
      <c r="K163">
        <v>2</v>
      </c>
    </row>
    <row r="164" spans="1:11" x14ac:dyDescent="0.35">
      <c r="A164" t="s">
        <v>191</v>
      </c>
      <c r="B164" s="1">
        <v>45702</v>
      </c>
      <c r="C164" t="s">
        <v>12</v>
      </c>
      <c r="D164" t="s">
        <v>18</v>
      </c>
      <c r="E164">
        <v>1186</v>
      </c>
      <c r="F164" t="s">
        <v>14</v>
      </c>
      <c r="G164" t="s">
        <v>20</v>
      </c>
      <c r="H164">
        <v>367361</v>
      </c>
      <c r="I164">
        <v>342776</v>
      </c>
      <c r="J164" t="s">
        <v>32</v>
      </c>
      <c r="K164">
        <v>7</v>
      </c>
    </row>
    <row r="165" spans="1:11" x14ac:dyDescent="0.35">
      <c r="A165" t="s">
        <v>192</v>
      </c>
      <c r="B165" s="1">
        <v>45741</v>
      </c>
      <c r="C165" t="s">
        <v>25</v>
      </c>
      <c r="D165" t="s">
        <v>13</v>
      </c>
      <c r="E165">
        <v>624</v>
      </c>
      <c r="F165" t="s">
        <v>43</v>
      </c>
      <c r="G165" t="s">
        <v>20</v>
      </c>
      <c r="H165">
        <v>203427</v>
      </c>
      <c r="I165">
        <v>176167</v>
      </c>
      <c r="J165" t="s">
        <v>16</v>
      </c>
      <c r="K165">
        <v>5</v>
      </c>
    </row>
    <row r="166" spans="1:11" x14ac:dyDescent="0.35">
      <c r="A166" t="s">
        <v>193</v>
      </c>
      <c r="B166" s="1">
        <v>45745</v>
      </c>
      <c r="C166" t="s">
        <v>12</v>
      </c>
      <c r="D166" t="s">
        <v>25</v>
      </c>
      <c r="E166">
        <v>1050</v>
      </c>
      <c r="F166" t="s">
        <v>14</v>
      </c>
      <c r="G166" t="s">
        <v>15</v>
      </c>
      <c r="H166">
        <v>495546</v>
      </c>
      <c r="I166">
        <v>519435</v>
      </c>
      <c r="J166" t="s">
        <v>32</v>
      </c>
      <c r="K166">
        <v>7</v>
      </c>
    </row>
    <row r="167" spans="1:11" x14ac:dyDescent="0.35">
      <c r="A167" t="s">
        <v>194</v>
      </c>
      <c r="B167" s="1">
        <v>45738</v>
      </c>
      <c r="C167" t="s">
        <v>18</v>
      </c>
      <c r="D167" t="s">
        <v>30</v>
      </c>
      <c r="E167">
        <v>409</v>
      </c>
      <c r="F167" t="s">
        <v>14</v>
      </c>
      <c r="G167" t="s">
        <v>15</v>
      </c>
      <c r="H167">
        <v>330562</v>
      </c>
      <c r="I167">
        <v>289512</v>
      </c>
      <c r="J167" t="s">
        <v>32</v>
      </c>
      <c r="K167">
        <v>4</v>
      </c>
    </row>
    <row r="168" spans="1:11" x14ac:dyDescent="0.35">
      <c r="A168" t="s">
        <v>195</v>
      </c>
      <c r="B168" s="1">
        <v>45715</v>
      </c>
      <c r="C168" t="s">
        <v>38</v>
      </c>
      <c r="D168" t="s">
        <v>30</v>
      </c>
      <c r="E168">
        <v>820</v>
      </c>
      <c r="F168" t="s">
        <v>26</v>
      </c>
      <c r="G168" t="s">
        <v>20</v>
      </c>
      <c r="H168">
        <v>365990</v>
      </c>
      <c r="I168">
        <v>325714</v>
      </c>
      <c r="J168" t="s">
        <v>32</v>
      </c>
      <c r="K168">
        <v>3</v>
      </c>
    </row>
    <row r="169" spans="1:11" x14ac:dyDescent="0.35">
      <c r="A169" t="s">
        <v>196</v>
      </c>
      <c r="B169" s="1">
        <v>45736</v>
      </c>
      <c r="C169" t="s">
        <v>13</v>
      </c>
      <c r="D169" t="s">
        <v>12</v>
      </c>
      <c r="E169">
        <v>257</v>
      </c>
      <c r="F169" t="s">
        <v>26</v>
      </c>
      <c r="G169" t="s">
        <v>15</v>
      </c>
      <c r="H169">
        <v>437990</v>
      </c>
      <c r="I169">
        <v>501268</v>
      </c>
      <c r="J169" t="s">
        <v>16</v>
      </c>
      <c r="K169">
        <v>7</v>
      </c>
    </row>
    <row r="170" spans="1:11" x14ac:dyDescent="0.35">
      <c r="A170" t="s">
        <v>197</v>
      </c>
      <c r="B170" s="1">
        <v>45699</v>
      </c>
      <c r="C170" t="s">
        <v>23</v>
      </c>
      <c r="D170" t="s">
        <v>22</v>
      </c>
      <c r="E170">
        <v>1021</v>
      </c>
      <c r="F170" t="s">
        <v>46</v>
      </c>
      <c r="G170" t="s">
        <v>20</v>
      </c>
      <c r="H170">
        <v>576603</v>
      </c>
      <c r="I170">
        <v>632747</v>
      </c>
      <c r="J170" t="s">
        <v>16</v>
      </c>
      <c r="K170">
        <v>5</v>
      </c>
    </row>
    <row r="171" spans="1:11" x14ac:dyDescent="0.35">
      <c r="A171" t="s">
        <v>198</v>
      </c>
      <c r="B171" s="1">
        <v>45668</v>
      </c>
      <c r="C171" t="s">
        <v>30</v>
      </c>
      <c r="D171" t="s">
        <v>38</v>
      </c>
      <c r="E171">
        <v>1022</v>
      </c>
      <c r="F171" t="s">
        <v>31</v>
      </c>
      <c r="G171" t="s">
        <v>20</v>
      </c>
      <c r="H171">
        <v>154264</v>
      </c>
      <c r="I171">
        <v>210559</v>
      </c>
      <c r="J171" t="s">
        <v>32</v>
      </c>
      <c r="K171">
        <v>7</v>
      </c>
    </row>
    <row r="172" spans="1:11" x14ac:dyDescent="0.35">
      <c r="A172" t="s">
        <v>199</v>
      </c>
      <c r="B172" s="1">
        <v>45704</v>
      </c>
      <c r="C172" t="s">
        <v>25</v>
      </c>
      <c r="D172" t="s">
        <v>12</v>
      </c>
      <c r="E172">
        <v>999</v>
      </c>
      <c r="F172" t="s">
        <v>31</v>
      </c>
      <c r="G172" t="s">
        <v>15</v>
      </c>
      <c r="H172">
        <v>374762</v>
      </c>
      <c r="I172">
        <v>393279</v>
      </c>
      <c r="J172" t="s">
        <v>16</v>
      </c>
      <c r="K172">
        <v>5</v>
      </c>
    </row>
    <row r="173" spans="1:11" x14ac:dyDescent="0.35">
      <c r="A173" t="s">
        <v>200</v>
      </c>
      <c r="B173" s="1">
        <v>45666</v>
      </c>
      <c r="C173" t="s">
        <v>18</v>
      </c>
      <c r="D173" t="s">
        <v>25</v>
      </c>
      <c r="E173">
        <v>792</v>
      </c>
      <c r="F173" t="s">
        <v>19</v>
      </c>
      <c r="G173" t="s">
        <v>15</v>
      </c>
      <c r="H173">
        <v>455937</v>
      </c>
      <c r="I173">
        <v>484303</v>
      </c>
      <c r="J173" t="s">
        <v>32</v>
      </c>
      <c r="K173">
        <v>1</v>
      </c>
    </row>
    <row r="174" spans="1:11" x14ac:dyDescent="0.35">
      <c r="A174" t="s">
        <v>201</v>
      </c>
      <c r="B174" s="1">
        <v>45700</v>
      </c>
      <c r="C174" t="s">
        <v>18</v>
      </c>
      <c r="D174" t="s">
        <v>12</v>
      </c>
      <c r="E174">
        <v>681</v>
      </c>
      <c r="F174" t="s">
        <v>46</v>
      </c>
      <c r="G174" t="s">
        <v>15</v>
      </c>
      <c r="H174">
        <v>232118</v>
      </c>
      <c r="I174">
        <v>276979</v>
      </c>
      <c r="J174" t="s">
        <v>16</v>
      </c>
      <c r="K174">
        <v>7</v>
      </c>
    </row>
    <row r="175" spans="1:11" x14ac:dyDescent="0.35">
      <c r="A175" t="s">
        <v>202</v>
      </c>
      <c r="B175" s="1">
        <v>45674</v>
      </c>
      <c r="C175" t="s">
        <v>12</v>
      </c>
      <c r="D175" t="s">
        <v>18</v>
      </c>
      <c r="E175">
        <v>816</v>
      </c>
      <c r="F175" t="s">
        <v>14</v>
      </c>
      <c r="G175" t="s">
        <v>20</v>
      </c>
      <c r="H175">
        <v>262650</v>
      </c>
      <c r="I175">
        <v>339487</v>
      </c>
      <c r="J175" t="s">
        <v>32</v>
      </c>
      <c r="K175">
        <v>6</v>
      </c>
    </row>
    <row r="176" spans="1:11" x14ac:dyDescent="0.35">
      <c r="A176" t="s">
        <v>203</v>
      </c>
      <c r="B176" s="1">
        <v>45740</v>
      </c>
      <c r="C176" t="s">
        <v>12</v>
      </c>
      <c r="D176" t="s">
        <v>22</v>
      </c>
      <c r="E176">
        <v>772</v>
      </c>
      <c r="F176" t="s">
        <v>46</v>
      </c>
      <c r="G176" t="s">
        <v>15</v>
      </c>
      <c r="H176">
        <v>526343</v>
      </c>
      <c r="I176">
        <v>493093</v>
      </c>
      <c r="J176" t="s">
        <v>16</v>
      </c>
      <c r="K176">
        <v>6</v>
      </c>
    </row>
    <row r="177" spans="1:11" x14ac:dyDescent="0.35">
      <c r="A177" t="s">
        <v>204</v>
      </c>
      <c r="B177" s="1">
        <v>45720</v>
      </c>
      <c r="C177" t="s">
        <v>23</v>
      </c>
      <c r="D177" t="s">
        <v>38</v>
      </c>
      <c r="E177">
        <v>842</v>
      </c>
      <c r="F177" t="s">
        <v>26</v>
      </c>
      <c r="G177" t="s">
        <v>20</v>
      </c>
      <c r="H177">
        <v>261934</v>
      </c>
      <c r="I177">
        <v>235561</v>
      </c>
      <c r="J177" t="s">
        <v>32</v>
      </c>
      <c r="K177">
        <v>2</v>
      </c>
    </row>
    <row r="178" spans="1:11" x14ac:dyDescent="0.35">
      <c r="A178" t="s">
        <v>205</v>
      </c>
      <c r="B178" s="1">
        <v>45722</v>
      </c>
      <c r="C178" t="s">
        <v>22</v>
      </c>
      <c r="D178" t="s">
        <v>13</v>
      </c>
      <c r="E178">
        <v>258</v>
      </c>
      <c r="F178" t="s">
        <v>31</v>
      </c>
      <c r="G178" t="s">
        <v>20</v>
      </c>
      <c r="H178">
        <v>255080</v>
      </c>
      <c r="I178">
        <v>315760</v>
      </c>
      <c r="J178" t="s">
        <v>16</v>
      </c>
      <c r="K178">
        <v>7</v>
      </c>
    </row>
    <row r="179" spans="1:11" x14ac:dyDescent="0.35">
      <c r="A179" t="s">
        <v>206</v>
      </c>
      <c r="B179" s="1">
        <v>45714</v>
      </c>
      <c r="C179" t="s">
        <v>13</v>
      </c>
      <c r="D179" t="s">
        <v>23</v>
      </c>
      <c r="E179">
        <v>871</v>
      </c>
      <c r="F179" t="s">
        <v>26</v>
      </c>
      <c r="G179" t="s">
        <v>20</v>
      </c>
      <c r="H179">
        <v>180872</v>
      </c>
      <c r="I179">
        <v>152138</v>
      </c>
      <c r="J179" t="s">
        <v>16</v>
      </c>
      <c r="K179">
        <v>2</v>
      </c>
    </row>
    <row r="180" spans="1:11" x14ac:dyDescent="0.35">
      <c r="A180" t="s">
        <v>207</v>
      </c>
      <c r="B180" s="1">
        <v>45687</v>
      </c>
      <c r="C180" t="s">
        <v>13</v>
      </c>
      <c r="D180" t="s">
        <v>38</v>
      </c>
      <c r="E180">
        <v>1009</v>
      </c>
      <c r="F180" t="s">
        <v>26</v>
      </c>
      <c r="G180" t="s">
        <v>20</v>
      </c>
      <c r="H180">
        <v>420127</v>
      </c>
      <c r="I180">
        <v>407473</v>
      </c>
      <c r="J180" t="s">
        <v>32</v>
      </c>
      <c r="K180">
        <v>7</v>
      </c>
    </row>
    <row r="181" spans="1:11" x14ac:dyDescent="0.35">
      <c r="A181" t="s">
        <v>208</v>
      </c>
      <c r="B181" s="1">
        <v>45717</v>
      </c>
      <c r="C181" t="s">
        <v>22</v>
      </c>
      <c r="D181" t="s">
        <v>25</v>
      </c>
      <c r="E181">
        <v>853</v>
      </c>
      <c r="F181" t="s">
        <v>19</v>
      </c>
      <c r="G181" t="s">
        <v>20</v>
      </c>
      <c r="H181">
        <v>455628</v>
      </c>
      <c r="I181">
        <v>529770</v>
      </c>
      <c r="J181" t="s">
        <v>32</v>
      </c>
      <c r="K181">
        <v>5</v>
      </c>
    </row>
    <row r="182" spans="1:11" x14ac:dyDescent="0.35">
      <c r="A182" t="s">
        <v>209</v>
      </c>
      <c r="B182" s="1">
        <v>45690</v>
      </c>
      <c r="C182" t="s">
        <v>38</v>
      </c>
      <c r="D182" t="s">
        <v>30</v>
      </c>
      <c r="E182">
        <v>431</v>
      </c>
      <c r="F182" t="s">
        <v>19</v>
      </c>
      <c r="G182" t="s">
        <v>15</v>
      </c>
      <c r="H182">
        <v>528286</v>
      </c>
      <c r="I182">
        <v>504460</v>
      </c>
      <c r="J182" t="s">
        <v>16</v>
      </c>
      <c r="K182">
        <v>7</v>
      </c>
    </row>
    <row r="183" spans="1:11" x14ac:dyDescent="0.35">
      <c r="A183" t="s">
        <v>210</v>
      </c>
      <c r="B183" s="1">
        <v>45694</v>
      </c>
      <c r="C183" t="s">
        <v>13</v>
      </c>
      <c r="D183" t="s">
        <v>23</v>
      </c>
      <c r="E183">
        <v>310</v>
      </c>
      <c r="F183" t="s">
        <v>19</v>
      </c>
      <c r="G183" t="s">
        <v>15</v>
      </c>
      <c r="H183">
        <v>472978</v>
      </c>
      <c r="I183">
        <v>533850</v>
      </c>
      <c r="J183" t="s">
        <v>16</v>
      </c>
      <c r="K183">
        <v>5</v>
      </c>
    </row>
    <row r="184" spans="1:11" x14ac:dyDescent="0.35">
      <c r="A184" t="s">
        <v>211</v>
      </c>
      <c r="B184" s="1">
        <v>45669</v>
      </c>
      <c r="C184" t="s">
        <v>12</v>
      </c>
      <c r="D184" t="s">
        <v>30</v>
      </c>
      <c r="E184">
        <v>1020</v>
      </c>
      <c r="F184" t="s">
        <v>31</v>
      </c>
      <c r="G184" t="s">
        <v>15</v>
      </c>
      <c r="H184">
        <v>574641</v>
      </c>
      <c r="I184">
        <v>591927</v>
      </c>
      <c r="J184" t="s">
        <v>32</v>
      </c>
      <c r="K184">
        <v>2</v>
      </c>
    </row>
    <row r="185" spans="1:11" x14ac:dyDescent="0.35">
      <c r="A185" t="s">
        <v>212</v>
      </c>
      <c r="B185" s="1">
        <v>45688</v>
      </c>
      <c r="C185" t="s">
        <v>22</v>
      </c>
      <c r="D185" t="s">
        <v>30</v>
      </c>
      <c r="E185">
        <v>154</v>
      </c>
      <c r="F185" t="s">
        <v>19</v>
      </c>
      <c r="G185" t="s">
        <v>15</v>
      </c>
      <c r="H185">
        <v>317525</v>
      </c>
      <c r="I185">
        <v>274505</v>
      </c>
      <c r="J185" t="s">
        <v>32</v>
      </c>
      <c r="K185">
        <v>4</v>
      </c>
    </row>
    <row r="186" spans="1:11" x14ac:dyDescent="0.35">
      <c r="A186" t="s">
        <v>213</v>
      </c>
      <c r="B186" s="1">
        <v>45676</v>
      </c>
      <c r="C186" t="s">
        <v>23</v>
      </c>
      <c r="D186" t="s">
        <v>12</v>
      </c>
      <c r="E186">
        <v>157</v>
      </c>
      <c r="F186" t="s">
        <v>26</v>
      </c>
      <c r="G186" t="s">
        <v>20</v>
      </c>
      <c r="H186">
        <v>267082</v>
      </c>
      <c r="I186">
        <v>339087</v>
      </c>
      <c r="J186" t="s">
        <v>32</v>
      </c>
      <c r="K186">
        <v>1</v>
      </c>
    </row>
    <row r="187" spans="1:11" x14ac:dyDescent="0.35">
      <c r="A187" t="s">
        <v>214</v>
      </c>
      <c r="B187" s="1">
        <v>45736</v>
      </c>
      <c r="C187" t="s">
        <v>25</v>
      </c>
      <c r="D187" t="s">
        <v>12</v>
      </c>
      <c r="E187">
        <v>384</v>
      </c>
      <c r="F187" t="s">
        <v>26</v>
      </c>
      <c r="G187" t="s">
        <v>15</v>
      </c>
      <c r="H187">
        <v>497851</v>
      </c>
      <c r="I187">
        <v>540327</v>
      </c>
      <c r="J187" t="s">
        <v>32</v>
      </c>
      <c r="K187">
        <v>4</v>
      </c>
    </row>
    <row r="188" spans="1:11" x14ac:dyDescent="0.35">
      <c r="A188" t="s">
        <v>215</v>
      </c>
      <c r="B188" s="1">
        <v>45672</v>
      </c>
      <c r="C188" t="s">
        <v>13</v>
      </c>
      <c r="D188" t="s">
        <v>12</v>
      </c>
      <c r="E188">
        <v>541</v>
      </c>
      <c r="F188" t="s">
        <v>43</v>
      </c>
      <c r="G188" t="s">
        <v>15</v>
      </c>
      <c r="H188">
        <v>537761</v>
      </c>
      <c r="I188">
        <v>507358</v>
      </c>
      <c r="J188" t="s">
        <v>32</v>
      </c>
      <c r="K188">
        <v>5</v>
      </c>
    </row>
    <row r="189" spans="1:11" x14ac:dyDescent="0.35">
      <c r="A189" t="s">
        <v>216</v>
      </c>
      <c r="B189" s="1">
        <v>45666</v>
      </c>
      <c r="C189" t="s">
        <v>38</v>
      </c>
      <c r="D189" t="s">
        <v>13</v>
      </c>
      <c r="E189">
        <v>197</v>
      </c>
      <c r="F189" t="s">
        <v>26</v>
      </c>
      <c r="G189" t="s">
        <v>20</v>
      </c>
      <c r="H189">
        <v>225010</v>
      </c>
      <c r="I189">
        <v>230037</v>
      </c>
      <c r="J189" t="s">
        <v>32</v>
      </c>
      <c r="K189">
        <v>6</v>
      </c>
    </row>
    <row r="190" spans="1:11" x14ac:dyDescent="0.35">
      <c r="A190" t="s">
        <v>217</v>
      </c>
      <c r="B190" s="1">
        <v>45695</v>
      </c>
      <c r="C190" t="s">
        <v>12</v>
      </c>
      <c r="D190" t="s">
        <v>30</v>
      </c>
      <c r="E190">
        <v>1155</v>
      </c>
      <c r="F190" t="s">
        <v>19</v>
      </c>
      <c r="G190" t="s">
        <v>20</v>
      </c>
      <c r="H190">
        <v>401490</v>
      </c>
      <c r="I190">
        <v>383201</v>
      </c>
      <c r="J190" t="s">
        <v>16</v>
      </c>
      <c r="K190">
        <v>6</v>
      </c>
    </row>
    <row r="191" spans="1:11" x14ac:dyDescent="0.35">
      <c r="A191" t="s">
        <v>218</v>
      </c>
      <c r="B191" s="1">
        <v>45725</v>
      </c>
      <c r="C191" t="s">
        <v>23</v>
      </c>
      <c r="D191" t="s">
        <v>12</v>
      </c>
      <c r="E191">
        <v>592</v>
      </c>
      <c r="F191" t="s">
        <v>46</v>
      </c>
      <c r="G191" t="s">
        <v>15</v>
      </c>
      <c r="H191">
        <v>399192</v>
      </c>
      <c r="I191">
        <v>403792</v>
      </c>
      <c r="J191" t="s">
        <v>16</v>
      </c>
      <c r="K191">
        <v>2</v>
      </c>
    </row>
    <row r="192" spans="1:11" x14ac:dyDescent="0.35">
      <c r="A192" t="s">
        <v>219</v>
      </c>
      <c r="B192" s="1">
        <v>45705</v>
      </c>
      <c r="C192" t="s">
        <v>18</v>
      </c>
      <c r="D192" t="s">
        <v>12</v>
      </c>
      <c r="E192">
        <v>899</v>
      </c>
      <c r="F192" t="s">
        <v>46</v>
      </c>
      <c r="G192" t="s">
        <v>20</v>
      </c>
      <c r="H192">
        <v>557877</v>
      </c>
      <c r="I192">
        <v>569498</v>
      </c>
      <c r="J192" t="s">
        <v>32</v>
      </c>
      <c r="K192">
        <v>1</v>
      </c>
    </row>
    <row r="193" spans="1:11" x14ac:dyDescent="0.35">
      <c r="A193" t="s">
        <v>220</v>
      </c>
      <c r="B193" s="1">
        <v>45732</v>
      </c>
      <c r="C193" t="s">
        <v>38</v>
      </c>
      <c r="D193" t="s">
        <v>23</v>
      </c>
      <c r="E193">
        <v>238</v>
      </c>
      <c r="F193" t="s">
        <v>43</v>
      </c>
      <c r="G193" t="s">
        <v>15</v>
      </c>
      <c r="H193">
        <v>280775</v>
      </c>
      <c r="I193">
        <v>262379</v>
      </c>
      <c r="J193" t="s">
        <v>16</v>
      </c>
      <c r="K193">
        <v>6</v>
      </c>
    </row>
    <row r="194" spans="1:11" x14ac:dyDescent="0.35">
      <c r="A194" t="s">
        <v>221</v>
      </c>
      <c r="B194" s="1">
        <v>45747</v>
      </c>
      <c r="C194" t="s">
        <v>18</v>
      </c>
      <c r="D194" t="s">
        <v>13</v>
      </c>
      <c r="E194">
        <v>793</v>
      </c>
      <c r="F194" t="s">
        <v>43</v>
      </c>
      <c r="G194" t="s">
        <v>15</v>
      </c>
      <c r="H194">
        <v>526512</v>
      </c>
      <c r="I194">
        <v>560764</v>
      </c>
      <c r="J194" t="s">
        <v>32</v>
      </c>
      <c r="K194">
        <v>2</v>
      </c>
    </row>
    <row r="195" spans="1:11" x14ac:dyDescent="0.35">
      <c r="A195" t="s">
        <v>222</v>
      </c>
      <c r="B195" s="1">
        <v>45695</v>
      </c>
      <c r="C195" t="s">
        <v>30</v>
      </c>
      <c r="D195" t="s">
        <v>18</v>
      </c>
      <c r="E195">
        <v>229</v>
      </c>
      <c r="F195" t="s">
        <v>31</v>
      </c>
      <c r="G195" t="s">
        <v>20</v>
      </c>
      <c r="H195">
        <v>475413</v>
      </c>
      <c r="I195">
        <v>527149</v>
      </c>
      <c r="J195" t="s">
        <v>16</v>
      </c>
      <c r="K195">
        <v>4</v>
      </c>
    </row>
    <row r="196" spans="1:11" x14ac:dyDescent="0.35">
      <c r="A196" t="s">
        <v>223</v>
      </c>
      <c r="B196" s="1">
        <v>45727</v>
      </c>
      <c r="C196" t="s">
        <v>22</v>
      </c>
      <c r="D196" t="s">
        <v>12</v>
      </c>
      <c r="E196">
        <v>746</v>
      </c>
      <c r="F196" t="s">
        <v>31</v>
      </c>
      <c r="G196" t="s">
        <v>20</v>
      </c>
      <c r="H196">
        <v>589355</v>
      </c>
      <c r="I196">
        <v>579997</v>
      </c>
      <c r="J196" t="s">
        <v>32</v>
      </c>
      <c r="K196">
        <v>5</v>
      </c>
    </row>
    <row r="197" spans="1:11" x14ac:dyDescent="0.35">
      <c r="A197" t="s">
        <v>224</v>
      </c>
      <c r="B197" s="1">
        <v>45741</v>
      </c>
      <c r="C197" t="s">
        <v>30</v>
      </c>
      <c r="D197" t="s">
        <v>25</v>
      </c>
      <c r="E197">
        <v>685</v>
      </c>
      <c r="F197" t="s">
        <v>43</v>
      </c>
      <c r="G197" t="s">
        <v>20</v>
      </c>
      <c r="H197">
        <v>287157</v>
      </c>
      <c r="I197">
        <v>350159</v>
      </c>
      <c r="J197" t="s">
        <v>16</v>
      </c>
      <c r="K197">
        <v>7</v>
      </c>
    </row>
    <row r="198" spans="1:11" x14ac:dyDescent="0.35">
      <c r="A198" t="s">
        <v>225</v>
      </c>
      <c r="B198" s="1">
        <v>45707</v>
      </c>
      <c r="C198" t="s">
        <v>18</v>
      </c>
      <c r="D198" t="s">
        <v>25</v>
      </c>
      <c r="E198">
        <v>994</v>
      </c>
      <c r="F198" t="s">
        <v>43</v>
      </c>
      <c r="G198" t="s">
        <v>15</v>
      </c>
      <c r="H198">
        <v>566347</v>
      </c>
      <c r="I198">
        <v>568778</v>
      </c>
      <c r="J198" t="s">
        <v>32</v>
      </c>
      <c r="K198">
        <v>6</v>
      </c>
    </row>
    <row r="199" spans="1:11" x14ac:dyDescent="0.35">
      <c r="A199" t="s">
        <v>226</v>
      </c>
      <c r="B199" s="1">
        <v>45668</v>
      </c>
      <c r="C199" t="s">
        <v>18</v>
      </c>
      <c r="D199" t="s">
        <v>13</v>
      </c>
      <c r="E199">
        <v>852</v>
      </c>
      <c r="F199" t="s">
        <v>19</v>
      </c>
      <c r="G199" t="s">
        <v>15</v>
      </c>
      <c r="H199">
        <v>584604</v>
      </c>
      <c r="I199">
        <v>639106</v>
      </c>
      <c r="J199" t="s">
        <v>32</v>
      </c>
      <c r="K199">
        <v>5</v>
      </c>
    </row>
    <row r="200" spans="1:11" x14ac:dyDescent="0.35">
      <c r="A200" t="s">
        <v>227</v>
      </c>
      <c r="B200" s="1">
        <v>45742</v>
      </c>
      <c r="C200" t="s">
        <v>23</v>
      </c>
      <c r="D200" t="s">
        <v>12</v>
      </c>
      <c r="E200">
        <v>701</v>
      </c>
      <c r="F200" t="s">
        <v>19</v>
      </c>
      <c r="G200" t="s">
        <v>20</v>
      </c>
      <c r="H200">
        <v>268407</v>
      </c>
      <c r="I200">
        <v>231854</v>
      </c>
      <c r="J200" t="s">
        <v>32</v>
      </c>
      <c r="K200">
        <v>1</v>
      </c>
    </row>
    <row r="201" spans="1:11" x14ac:dyDescent="0.35">
      <c r="A201" t="s">
        <v>228</v>
      </c>
      <c r="B201" s="1">
        <v>45663</v>
      </c>
      <c r="C201" t="s">
        <v>38</v>
      </c>
      <c r="D201" t="s">
        <v>25</v>
      </c>
      <c r="E201">
        <v>441</v>
      </c>
      <c r="F201" t="s">
        <v>19</v>
      </c>
      <c r="G201" t="s">
        <v>15</v>
      </c>
      <c r="H201">
        <v>461635</v>
      </c>
      <c r="I201">
        <v>469818</v>
      </c>
      <c r="J201" t="s">
        <v>32</v>
      </c>
      <c r="K201">
        <v>3</v>
      </c>
    </row>
    <row r="202" spans="1:11" x14ac:dyDescent="0.35">
      <c r="A202" t="s">
        <v>229</v>
      </c>
      <c r="B202" s="1">
        <v>45704</v>
      </c>
      <c r="C202" t="s">
        <v>18</v>
      </c>
      <c r="D202" t="s">
        <v>38</v>
      </c>
      <c r="E202">
        <v>217</v>
      </c>
      <c r="F202" t="s">
        <v>19</v>
      </c>
      <c r="G202" t="s">
        <v>15</v>
      </c>
      <c r="H202">
        <v>139343</v>
      </c>
      <c r="I202">
        <v>177316</v>
      </c>
      <c r="J202" t="s">
        <v>32</v>
      </c>
      <c r="K202">
        <v>6</v>
      </c>
    </row>
    <row r="203" spans="1:11" x14ac:dyDescent="0.35">
      <c r="A203" t="s">
        <v>230</v>
      </c>
      <c r="B203" s="1">
        <v>45704</v>
      </c>
      <c r="C203" t="s">
        <v>25</v>
      </c>
      <c r="D203" t="s">
        <v>12</v>
      </c>
      <c r="E203">
        <v>171</v>
      </c>
      <c r="F203" t="s">
        <v>31</v>
      </c>
      <c r="G203" t="s">
        <v>15</v>
      </c>
      <c r="H203">
        <v>166180</v>
      </c>
      <c r="I203">
        <v>124992</v>
      </c>
      <c r="J203" t="s">
        <v>32</v>
      </c>
      <c r="K203">
        <v>2</v>
      </c>
    </row>
    <row r="204" spans="1:11" x14ac:dyDescent="0.35">
      <c r="A204" t="s">
        <v>231</v>
      </c>
      <c r="B204" s="1">
        <v>45667</v>
      </c>
      <c r="C204" t="s">
        <v>23</v>
      </c>
      <c r="D204" t="s">
        <v>38</v>
      </c>
      <c r="E204">
        <v>1021</v>
      </c>
      <c r="F204" t="s">
        <v>43</v>
      </c>
      <c r="G204" t="s">
        <v>20</v>
      </c>
      <c r="H204">
        <v>597456</v>
      </c>
      <c r="I204">
        <v>596079</v>
      </c>
      <c r="J204" t="s">
        <v>32</v>
      </c>
      <c r="K204">
        <v>3</v>
      </c>
    </row>
    <row r="205" spans="1:11" x14ac:dyDescent="0.35">
      <c r="A205" t="s">
        <v>232</v>
      </c>
      <c r="B205" s="1">
        <v>45661</v>
      </c>
      <c r="C205" t="s">
        <v>25</v>
      </c>
      <c r="D205" t="s">
        <v>18</v>
      </c>
      <c r="E205">
        <v>743</v>
      </c>
      <c r="F205" t="s">
        <v>26</v>
      </c>
      <c r="G205" t="s">
        <v>15</v>
      </c>
      <c r="H205">
        <v>440556</v>
      </c>
      <c r="I205">
        <v>427084</v>
      </c>
      <c r="J205" t="s">
        <v>16</v>
      </c>
      <c r="K205">
        <v>2</v>
      </c>
    </row>
    <row r="206" spans="1:11" x14ac:dyDescent="0.35">
      <c r="A206" t="s">
        <v>233</v>
      </c>
      <c r="B206" s="1">
        <v>45685</v>
      </c>
      <c r="C206" t="s">
        <v>25</v>
      </c>
      <c r="D206" t="s">
        <v>38</v>
      </c>
      <c r="E206">
        <v>341</v>
      </c>
      <c r="F206" t="s">
        <v>46</v>
      </c>
      <c r="G206" t="s">
        <v>15</v>
      </c>
      <c r="H206">
        <v>237246</v>
      </c>
      <c r="I206">
        <v>288822</v>
      </c>
      <c r="J206" t="s">
        <v>32</v>
      </c>
      <c r="K206">
        <v>3</v>
      </c>
    </row>
    <row r="207" spans="1:11" x14ac:dyDescent="0.35">
      <c r="A207" t="s">
        <v>234</v>
      </c>
      <c r="B207" s="1">
        <v>45680</v>
      </c>
      <c r="C207" t="s">
        <v>38</v>
      </c>
      <c r="D207" t="s">
        <v>23</v>
      </c>
      <c r="E207">
        <v>351</v>
      </c>
      <c r="F207" t="s">
        <v>19</v>
      </c>
      <c r="G207" t="s">
        <v>20</v>
      </c>
      <c r="H207">
        <v>171160</v>
      </c>
      <c r="I207">
        <v>232941</v>
      </c>
      <c r="J207" t="s">
        <v>32</v>
      </c>
      <c r="K207">
        <v>1</v>
      </c>
    </row>
    <row r="208" spans="1:11" x14ac:dyDescent="0.35">
      <c r="A208" t="s">
        <v>235</v>
      </c>
      <c r="B208" s="1">
        <v>45696</v>
      </c>
      <c r="C208" t="s">
        <v>30</v>
      </c>
      <c r="D208" t="s">
        <v>12</v>
      </c>
      <c r="E208">
        <v>811</v>
      </c>
      <c r="F208" t="s">
        <v>14</v>
      </c>
      <c r="G208" t="s">
        <v>15</v>
      </c>
      <c r="H208">
        <v>472003</v>
      </c>
      <c r="I208">
        <v>430514</v>
      </c>
      <c r="J208" t="s">
        <v>32</v>
      </c>
      <c r="K208">
        <v>5</v>
      </c>
    </row>
    <row r="209" spans="1:11" x14ac:dyDescent="0.35">
      <c r="A209" t="s">
        <v>236</v>
      </c>
      <c r="B209" s="1">
        <v>45675</v>
      </c>
      <c r="C209" t="s">
        <v>25</v>
      </c>
      <c r="D209" t="s">
        <v>23</v>
      </c>
      <c r="E209">
        <v>840</v>
      </c>
      <c r="F209" t="s">
        <v>14</v>
      </c>
      <c r="G209" t="s">
        <v>20</v>
      </c>
      <c r="H209">
        <v>366734</v>
      </c>
      <c r="I209">
        <v>346125</v>
      </c>
      <c r="J209" t="s">
        <v>16</v>
      </c>
      <c r="K209">
        <v>1</v>
      </c>
    </row>
    <row r="210" spans="1:11" x14ac:dyDescent="0.35">
      <c r="A210" t="s">
        <v>237</v>
      </c>
      <c r="B210" s="1">
        <v>45728</v>
      </c>
      <c r="C210" t="s">
        <v>22</v>
      </c>
      <c r="D210" t="s">
        <v>30</v>
      </c>
      <c r="E210">
        <v>839</v>
      </c>
      <c r="F210" t="s">
        <v>19</v>
      </c>
      <c r="G210" t="s">
        <v>20</v>
      </c>
      <c r="H210">
        <v>390466</v>
      </c>
      <c r="I210">
        <v>415475</v>
      </c>
      <c r="J210" t="s">
        <v>32</v>
      </c>
      <c r="K210">
        <v>3</v>
      </c>
    </row>
    <row r="211" spans="1:11" x14ac:dyDescent="0.35">
      <c r="A211" t="s">
        <v>238</v>
      </c>
      <c r="B211" s="1">
        <v>45725</v>
      </c>
      <c r="C211" t="s">
        <v>25</v>
      </c>
      <c r="D211" t="s">
        <v>18</v>
      </c>
      <c r="E211">
        <v>733</v>
      </c>
      <c r="F211" t="s">
        <v>43</v>
      </c>
      <c r="G211" t="s">
        <v>20</v>
      </c>
      <c r="H211">
        <v>308750</v>
      </c>
      <c r="I211">
        <v>352719</v>
      </c>
      <c r="J211" t="s">
        <v>32</v>
      </c>
      <c r="K211">
        <v>6</v>
      </c>
    </row>
    <row r="212" spans="1:11" x14ac:dyDescent="0.35">
      <c r="A212" t="s">
        <v>239</v>
      </c>
      <c r="B212" s="1">
        <v>45717</v>
      </c>
      <c r="C212" t="s">
        <v>23</v>
      </c>
      <c r="D212" t="s">
        <v>30</v>
      </c>
      <c r="E212">
        <v>356</v>
      </c>
      <c r="F212" t="s">
        <v>19</v>
      </c>
      <c r="G212" t="s">
        <v>20</v>
      </c>
      <c r="H212">
        <v>266213</v>
      </c>
      <c r="I212">
        <v>300405</v>
      </c>
      <c r="J212" t="s">
        <v>32</v>
      </c>
      <c r="K212">
        <v>1</v>
      </c>
    </row>
    <row r="213" spans="1:11" x14ac:dyDescent="0.35">
      <c r="A213" t="s">
        <v>240</v>
      </c>
      <c r="B213" s="1">
        <v>45673</v>
      </c>
      <c r="C213" t="s">
        <v>18</v>
      </c>
      <c r="D213" t="s">
        <v>13</v>
      </c>
      <c r="E213">
        <v>364</v>
      </c>
      <c r="F213" t="s">
        <v>46</v>
      </c>
      <c r="G213" t="s">
        <v>20</v>
      </c>
      <c r="H213">
        <v>326816</v>
      </c>
      <c r="I213">
        <v>342727</v>
      </c>
      <c r="J213" t="s">
        <v>16</v>
      </c>
      <c r="K213">
        <v>7</v>
      </c>
    </row>
    <row r="214" spans="1:11" x14ac:dyDescent="0.35">
      <c r="A214" t="s">
        <v>241</v>
      </c>
      <c r="B214" s="1">
        <v>45724</v>
      </c>
      <c r="C214" t="s">
        <v>25</v>
      </c>
      <c r="D214" t="s">
        <v>22</v>
      </c>
      <c r="E214">
        <v>760</v>
      </c>
      <c r="F214" t="s">
        <v>31</v>
      </c>
      <c r="G214" t="s">
        <v>20</v>
      </c>
      <c r="H214">
        <v>590071</v>
      </c>
      <c r="I214">
        <v>633044</v>
      </c>
      <c r="J214" t="s">
        <v>32</v>
      </c>
      <c r="K214">
        <v>2</v>
      </c>
    </row>
    <row r="215" spans="1:11" x14ac:dyDescent="0.35">
      <c r="A215" t="s">
        <v>242</v>
      </c>
      <c r="B215" s="1">
        <v>45674</v>
      </c>
      <c r="C215" t="s">
        <v>38</v>
      </c>
      <c r="D215" t="s">
        <v>30</v>
      </c>
      <c r="E215">
        <v>502</v>
      </c>
      <c r="F215" t="s">
        <v>43</v>
      </c>
      <c r="G215" t="s">
        <v>15</v>
      </c>
      <c r="H215">
        <v>432952</v>
      </c>
      <c r="I215">
        <v>508302</v>
      </c>
      <c r="J215" t="s">
        <v>32</v>
      </c>
      <c r="K215">
        <v>5</v>
      </c>
    </row>
    <row r="216" spans="1:11" x14ac:dyDescent="0.35">
      <c r="A216" t="s">
        <v>243</v>
      </c>
      <c r="B216" s="1">
        <v>45679</v>
      </c>
      <c r="C216" t="s">
        <v>38</v>
      </c>
      <c r="D216" t="s">
        <v>18</v>
      </c>
      <c r="E216">
        <v>1129</v>
      </c>
      <c r="F216" t="s">
        <v>46</v>
      </c>
      <c r="G216" t="s">
        <v>20</v>
      </c>
      <c r="H216">
        <v>436062</v>
      </c>
      <c r="I216">
        <v>408165</v>
      </c>
      <c r="J216" t="s">
        <v>16</v>
      </c>
      <c r="K216">
        <v>5</v>
      </c>
    </row>
    <row r="217" spans="1:11" x14ac:dyDescent="0.35">
      <c r="A217" t="s">
        <v>244</v>
      </c>
      <c r="B217" s="1">
        <v>45741</v>
      </c>
      <c r="C217" t="s">
        <v>18</v>
      </c>
      <c r="D217" t="s">
        <v>30</v>
      </c>
      <c r="E217">
        <v>158</v>
      </c>
      <c r="F217" t="s">
        <v>46</v>
      </c>
      <c r="G217" t="s">
        <v>20</v>
      </c>
      <c r="H217">
        <v>142584</v>
      </c>
      <c r="I217">
        <v>98542</v>
      </c>
      <c r="J217" t="s">
        <v>32</v>
      </c>
      <c r="K217">
        <v>6</v>
      </c>
    </row>
    <row r="218" spans="1:11" x14ac:dyDescent="0.35">
      <c r="A218" t="s">
        <v>245</v>
      </c>
      <c r="B218" s="1">
        <v>45740</v>
      </c>
      <c r="C218" t="s">
        <v>22</v>
      </c>
      <c r="D218" t="s">
        <v>30</v>
      </c>
      <c r="E218">
        <v>162</v>
      </c>
      <c r="F218" t="s">
        <v>46</v>
      </c>
      <c r="G218" t="s">
        <v>15</v>
      </c>
      <c r="H218">
        <v>361115</v>
      </c>
      <c r="I218">
        <v>427637</v>
      </c>
      <c r="J218" t="s">
        <v>32</v>
      </c>
      <c r="K218">
        <v>6</v>
      </c>
    </row>
    <row r="219" spans="1:11" x14ac:dyDescent="0.35">
      <c r="A219" t="s">
        <v>246</v>
      </c>
      <c r="B219" s="1">
        <v>45678</v>
      </c>
      <c r="C219" t="s">
        <v>38</v>
      </c>
      <c r="D219" t="s">
        <v>22</v>
      </c>
      <c r="E219">
        <v>709</v>
      </c>
      <c r="F219" t="s">
        <v>31</v>
      </c>
      <c r="G219" t="s">
        <v>15</v>
      </c>
      <c r="H219">
        <v>337787</v>
      </c>
      <c r="I219">
        <v>297351</v>
      </c>
      <c r="J219" t="s">
        <v>16</v>
      </c>
      <c r="K219">
        <v>6</v>
      </c>
    </row>
    <row r="220" spans="1:11" x14ac:dyDescent="0.35">
      <c r="A220" t="s">
        <v>247</v>
      </c>
      <c r="B220" s="1">
        <v>45698</v>
      </c>
      <c r="C220" t="s">
        <v>30</v>
      </c>
      <c r="D220" t="s">
        <v>22</v>
      </c>
      <c r="E220">
        <v>517</v>
      </c>
      <c r="F220" t="s">
        <v>19</v>
      </c>
      <c r="G220" t="s">
        <v>15</v>
      </c>
      <c r="H220">
        <v>278358</v>
      </c>
      <c r="I220">
        <v>307874</v>
      </c>
      <c r="J220" t="s">
        <v>32</v>
      </c>
      <c r="K220">
        <v>2</v>
      </c>
    </row>
    <row r="221" spans="1:11" x14ac:dyDescent="0.35">
      <c r="A221" t="s">
        <v>248</v>
      </c>
      <c r="B221" s="1">
        <v>45717</v>
      </c>
      <c r="C221" t="s">
        <v>18</v>
      </c>
      <c r="D221" t="s">
        <v>22</v>
      </c>
      <c r="E221">
        <v>1154</v>
      </c>
      <c r="F221" t="s">
        <v>31</v>
      </c>
      <c r="G221" t="s">
        <v>15</v>
      </c>
      <c r="H221">
        <v>394466</v>
      </c>
      <c r="I221">
        <v>358383</v>
      </c>
      <c r="J221" t="s">
        <v>16</v>
      </c>
      <c r="K221">
        <v>3</v>
      </c>
    </row>
    <row r="222" spans="1:11" x14ac:dyDescent="0.35">
      <c r="A222" t="s">
        <v>249</v>
      </c>
      <c r="B222" s="1">
        <v>45736</v>
      </c>
      <c r="C222" t="s">
        <v>12</v>
      </c>
      <c r="D222" t="s">
        <v>22</v>
      </c>
      <c r="E222">
        <v>388</v>
      </c>
      <c r="F222" t="s">
        <v>19</v>
      </c>
      <c r="G222" t="s">
        <v>20</v>
      </c>
      <c r="H222">
        <v>150757</v>
      </c>
      <c r="I222">
        <v>107389</v>
      </c>
      <c r="J222" t="s">
        <v>32</v>
      </c>
      <c r="K222">
        <v>3</v>
      </c>
    </row>
    <row r="223" spans="1:11" x14ac:dyDescent="0.35">
      <c r="A223" t="s">
        <v>250</v>
      </c>
      <c r="B223" s="1">
        <v>45723</v>
      </c>
      <c r="C223" t="s">
        <v>23</v>
      </c>
      <c r="D223" t="s">
        <v>13</v>
      </c>
      <c r="E223">
        <v>740</v>
      </c>
      <c r="F223" t="s">
        <v>31</v>
      </c>
      <c r="G223" t="s">
        <v>15</v>
      </c>
      <c r="H223">
        <v>199527</v>
      </c>
      <c r="I223">
        <v>249550</v>
      </c>
      <c r="J223" t="s">
        <v>32</v>
      </c>
      <c r="K223">
        <v>2</v>
      </c>
    </row>
    <row r="224" spans="1:11" x14ac:dyDescent="0.35">
      <c r="A224" t="s">
        <v>251</v>
      </c>
      <c r="B224" s="1">
        <v>45688</v>
      </c>
      <c r="C224" t="s">
        <v>30</v>
      </c>
      <c r="D224" t="s">
        <v>22</v>
      </c>
      <c r="E224">
        <v>147</v>
      </c>
      <c r="F224" t="s">
        <v>26</v>
      </c>
      <c r="G224" t="s">
        <v>15</v>
      </c>
      <c r="H224">
        <v>147211</v>
      </c>
      <c r="I224">
        <v>221104</v>
      </c>
      <c r="J224" t="s">
        <v>32</v>
      </c>
      <c r="K224">
        <v>4</v>
      </c>
    </row>
    <row r="225" spans="1:11" x14ac:dyDescent="0.35">
      <c r="A225" t="s">
        <v>252</v>
      </c>
      <c r="B225" s="1">
        <v>45694</v>
      </c>
      <c r="C225" t="s">
        <v>22</v>
      </c>
      <c r="D225" t="s">
        <v>18</v>
      </c>
      <c r="E225">
        <v>203</v>
      </c>
      <c r="F225" t="s">
        <v>26</v>
      </c>
      <c r="G225" t="s">
        <v>20</v>
      </c>
      <c r="H225">
        <v>247511</v>
      </c>
      <c r="I225">
        <v>262377</v>
      </c>
      <c r="J225" t="s">
        <v>32</v>
      </c>
      <c r="K225">
        <v>5</v>
      </c>
    </row>
    <row r="226" spans="1:11" x14ac:dyDescent="0.35">
      <c r="A226" t="s">
        <v>253</v>
      </c>
      <c r="B226" s="1">
        <v>45709</v>
      </c>
      <c r="C226" t="s">
        <v>13</v>
      </c>
      <c r="D226" t="s">
        <v>30</v>
      </c>
      <c r="E226">
        <v>374</v>
      </c>
      <c r="F226" t="s">
        <v>43</v>
      </c>
      <c r="G226" t="s">
        <v>15</v>
      </c>
      <c r="H226">
        <v>562660</v>
      </c>
      <c r="I226">
        <v>547324</v>
      </c>
      <c r="J226" t="s">
        <v>32</v>
      </c>
      <c r="K226">
        <v>6</v>
      </c>
    </row>
    <row r="227" spans="1:11" x14ac:dyDescent="0.35">
      <c r="A227" t="s">
        <v>254</v>
      </c>
      <c r="B227" s="1">
        <v>45707</v>
      </c>
      <c r="C227" t="s">
        <v>18</v>
      </c>
      <c r="D227" t="s">
        <v>12</v>
      </c>
      <c r="E227">
        <v>498</v>
      </c>
      <c r="F227" t="s">
        <v>19</v>
      </c>
      <c r="G227" t="s">
        <v>20</v>
      </c>
      <c r="H227">
        <v>290066</v>
      </c>
      <c r="I227">
        <v>312578</v>
      </c>
      <c r="J227" t="s">
        <v>16</v>
      </c>
      <c r="K227">
        <v>3</v>
      </c>
    </row>
    <row r="228" spans="1:11" x14ac:dyDescent="0.35">
      <c r="A228" t="s">
        <v>255</v>
      </c>
      <c r="B228" s="1">
        <v>45705</v>
      </c>
      <c r="C228" t="s">
        <v>30</v>
      </c>
      <c r="D228" t="s">
        <v>23</v>
      </c>
      <c r="E228">
        <v>343</v>
      </c>
      <c r="F228" t="s">
        <v>46</v>
      </c>
      <c r="G228" t="s">
        <v>15</v>
      </c>
      <c r="H228">
        <v>167456</v>
      </c>
      <c r="I228">
        <v>245262</v>
      </c>
      <c r="J228" t="s">
        <v>32</v>
      </c>
      <c r="K228">
        <v>1</v>
      </c>
    </row>
    <row r="229" spans="1:11" x14ac:dyDescent="0.35">
      <c r="A229" t="s">
        <v>256</v>
      </c>
      <c r="B229" s="1">
        <v>45663</v>
      </c>
      <c r="C229" t="s">
        <v>18</v>
      </c>
      <c r="D229" t="s">
        <v>38</v>
      </c>
      <c r="E229">
        <v>507</v>
      </c>
      <c r="F229" t="s">
        <v>26</v>
      </c>
      <c r="G229" t="s">
        <v>20</v>
      </c>
      <c r="H229">
        <v>415864</v>
      </c>
      <c r="I229">
        <v>432595</v>
      </c>
      <c r="J229" t="s">
        <v>16</v>
      </c>
      <c r="K229">
        <v>4</v>
      </c>
    </row>
    <row r="230" spans="1:11" x14ac:dyDescent="0.35">
      <c r="A230" t="s">
        <v>257</v>
      </c>
      <c r="B230" s="1">
        <v>45699</v>
      </c>
      <c r="C230" t="s">
        <v>13</v>
      </c>
      <c r="D230" t="s">
        <v>25</v>
      </c>
      <c r="E230">
        <v>1070</v>
      </c>
      <c r="F230" t="s">
        <v>14</v>
      </c>
      <c r="G230" t="s">
        <v>15</v>
      </c>
      <c r="H230">
        <v>372279</v>
      </c>
      <c r="I230">
        <v>382177</v>
      </c>
      <c r="J230" t="s">
        <v>16</v>
      </c>
      <c r="K230">
        <v>2</v>
      </c>
    </row>
    <row r="231" spans="1:11" x14ac:dyDescent="0.35">
      <c r="A231" t="s">
        <v>258</v>
      </c>
      <c r="B231" s="1">
        <v>45748</v>
      </c>
      <c r="C231" t="s">
        <v>18</v>
      </c>
      <c r="D231" t="s">
        <v>13</v>
      </c>
      <c r="E231">
        <v>788</v>
      </c>
      <c r="F231" t="s">
        <v>19</v>
      </c>
      <c r="G231" t="s">
        <v>15</v>
      </c>
      <c r="H231">
        <v>365979</v>
      </c>
      <c r="I231">
        <v>424544</v>
      </c>
      <c r="J231" t="s">
        <v>32</v>
      </c>
      <c r="K231">
        <v>5</v>
      </c>
    </row>
    <row r="232" spans="1:11" x14ac:dyDescent="0.35">
      <c r="A232" t="s">
        <v>259</v>
      </c>
      <c r="B232" s="1">
        <v>45746</v>
      </c>
      <c r="C232" t="s">
        <v>38</v>
      </c>
      <c r="D232" t="s">
        <v>22</v>
      </c>
      <c r="E232">
        <v>778</v>
      </c>
      <c r="F232" t="s">
        <v>43</v>
      </c>
      <c r="G232" t="s">
        <v>15</v>
      </c>
      <c r="H232">
        <v>453268</v>
      </c>
      <c r="I232">
        <v>417634</v>
      </c>
      <c r="J232" t="s">
        <v>32</v>
      </c>
      <c r="K232">
        <v>4</v>
      </c>
    </row>
    <row r="233" spans="1:11" x14ac:dyDescent="0.35">
      <c r="A233" t="s">
        <v>260</v>
      </c>
      <c r="B233" s="1">
        <v>45679</v>
      </c>
      <c r="C233" t="s">
        <v>13</v>
      </c>
      <c r="D233" t="s">
        <v>18</v>
      </c>
      <c r="E233">
        <v>566</v>
      </c>
      <c r="F233" t="s">
        <v>19</v>
      </c>
      <c r="G233" t="s">
        <v>15</v>
      </c>
      <c r="H233">
        <v>478221</v>
      </c>
      <c r="I233">
        <v>434952</v>
      </c>
      <c r="J233" t="s">
        <v>32</v>
      </c>
      <c r="K233">
        <v>5</v>
      </c>
    </row>
    <row r="234" spans="1:11" x14ac:dyDescent="0.35">
      <c r="A234" t="s">
        <v>261</v>
      </c>
      <c r="B234" s="1">
        <v>45682</v>
      </c>
      <c r="C234" t="s">
        <v>23</v>
      </c>
      <c r="D234" t="s">
        <v>13</v>
      </c>
      <c r="E234">
        <v>164</v>
      </c>
      <c r="F234" t="s">
        <v>14</v>
      </c>
      <c r="G234" t="s">
        <v>20</v>
      </c>
      <c r="H234">
        <v>400191</v>
      </c>
      <c r="I234">
        <v>474474</v>
      </c>
      <c r="J234" t="s">
        <v>16</v>
      </c>
      <c r="K234">
        <v>6</v>
      </c>
    </row>
    <row r="235" spans="1:11" x14ac:dyDescent="0.35">
      <c r="A235" t="s">
        <v>262</v>
      </c>
      <c r="B235" s="1">
        <v>45722</v>
      </c>
      <c r="C235" t="s">
        <v>13</v>
      </c>
      <c r="D235" t="s">
        <v>38</v>
      </c>
      <c r="E235">
        <v>410</v>
      </c>
      <c r="F235" t="s">
        <v>26</v>
      </c>
      <c r="G235" t="s">
        <v>15</v>
      </c>
      <c r="H235">
        <v>316510</v>
      </c>
      <c r="I235">
        <v>357015</v>
      </c>
      <c r="J235" t="s">
        <v>32</v>
      </c>
      <c r="K235">
        <v>2</v>
      </c>
    </row>
    <row r="236" spans="1:11" x14ac:dyDescent="0.35">
      <c r="A236" t="s">
        <v>263</v>
      </c>
      <c r="B236" s="1">
        <v>45742</v>
      </c>
      <c r="C236" t="s">
        <v>30</v>
      </c>
      <c r="D236" t="s">
        <v>23</v>
      </c>
      <c r="E236">
        <v>382</v>
      </c>
      <c r="F236" t="s">
        <v>14</v>
      </c>
      <c r="G236" t="s">
        <v>20</v>
      </c>
      <c r="H236">
        <v>371939</v>
      </c>
      <c r="I236">
        <v>349115</v>
      </c>
      <c r="J236" t="s">
        <v>32</v>
      </c>
      <c r="K236">
        <v>5</v>
      </c>
    </row>
    <row r="237" spans="1:11" x14ac:dyDescent="0.35">
      <c r="A237" t="s">
        <v>264</v>
      </c>
      <c r="B237" s="1">
        <v>45727</v>
      </c>
      <c r="C237" t="s">
        <v>30</v>
      </c>
      <c r="D237" t="s">
        <v>38</v>
      </c>
      <c r="E237">
        <v>454</v>
      </c>
      <c r="F237" t="s">
        <v>19</v>
      </c>
      <c r="G237" t="s">
        <v>15</v>
      </c>
      <c r="H237">
        <v>340996</v>
      </c>
      <c r="I237">
        <v>410549</v>
      </c>
      <c r="J237" t="s">
        <v>32</v>
      </c>
      <c r="K237">
        <v>5</v>
      </c>
    </row>
    <row r="238" spans="1:11" x14ac:dyDescent="0.35">
      <c r="A238" t="s">
        <v>265</v>
      </c>
      <c r="B238" s="1">
        <v>45729</v>
      </c>
      <c r="C238" t="s">
        <v>18</v>
      </c>
      <c r="D238" t="s">
        <v>23</v>
      </c>
      <c r="E238">
        <v>1091</v>
      </c>
      <c r="F238" t="s">
        <v>14</v>
      </c>
      <c r="G238" t="s">
        <v>15</v>
      </c>
      <c r="H238">
        <v>200801</v>
      </c>
      <c r="I238">
        <v>276281</v>
      </c>
      <c r="J238" t="s">
        <v>32</v>
      </c>
      <c r="K238">
        <v>2</v>
      </c>
    </row>
    <row r="239" spans="1:11" x14ac:dyDescent="0.35">
      <c r="A239" t="s">
        <v>266</v>
      </c>
      <c r="B239" s="1">
        <v>45719</v>
      </c>
      <c r="C239" t="s">
        <v>38</v>
      </c>
      <c r="D239" t="s">
        <v>13</v>
      </c>
      <c r="E239">
        <v>524</v>
      </c>
      <c r="F239" t="s">
        <v>26</v>
      </c>
      <c r="G239" t="s">
        <v>15</v>
      </c>
      <c r="H239">
        <v>461884</v>
      </c>
      <c r="I239">
        <v>504288</v>
      </c>
      <c r="J239" t="s">
        <v>32</v>
      </c>
      <c r="K239">
        <v>4</v>
      </c>
    </row>
    <row r="240" spans="1:11" x14ac:dyDescent="0.35">
      <c r="A240" t="s">
        <v>267</v>
      </c>
      <c r="B240" s="1">
        <v>45708</v>
      </c>
      <c r="C240" t="s">
        <v>18</v>
      </c>
      <c r="D240" t="s">
        <v>38</v>
      </c>
      <c r="E240">
        <v>689</v>
      </c>
      <c r="F240" t="s">
        <v>14</v>
      </c>
      <c r="G240" t="s">
        <v>15</v>
      </c>
      <c r="H240">
        <v>163897</v>
      </c>
      <c r="I240">
        <v>189063</v>
      </c>
      <c r="J240" t="s">
        <v>32</v>
      </c>
      <c r="K240">
        <v>6</v>
      </c>
    </row>
    <row r="241" spans="1:11" x14ac:dyDescent="0.35">
      <c r="A241" t="s">
        <v>268</v>
      </c>
      <c r="B241" s="1">
        <v>45702</v>
      </c>
      <c r="C241" t="s">
        <v>18</v>
      </c>
      <c r="D241" t="s">
        <v>30</v>
      </c>
      <c r="E241">
        <v>186</v>
      </c>
      <c r="F241" t="s">
        <v>31</v>
      </c>
      <c r="G241" t="s">
        <v>15</v>
      </c>
      <c r="H241">
        <v>250801</v>
      </c>
      <c r="I241">
        <v>326015</v>
      </c>
      <c r="J241" t="s">
        <v>16</v>
      </c>
      <c r="K241">
        <v>6</v>
      </c>
    </row>
    <row r="242" spans="1:11" x14ac:dyDescent="0.35">
      <c r="A242" t="s">
        <v>269</v>
      </c>
      <c r="B242" s="1">
        <v>45729</v>
      </c>
      <c r="C242" t="s">
        <v>30</v>
      </c>
      <c r="D242" t="s">
        <v>18</v>
      </c>
      <c r="E242">
        <v>538</v>
      </c>
      <c r="F242" t="s">
        <v>26</v>
      </c>
      <c r="G242" t="s">
        <v>15</v>
      </c>
      <c r="H242">
        <v>205941</v>
      </c>
      <c r="I242">
        <v>264462</v>
      </c>
      <c r="J242" t="s">
        <v>32</v>
      </c>
      <c r="K242">
        <v>5</v>
      </c>
    </row>
    <row r="243" spans="1:11" x14ac:dyDescent="0.35">
      <c r="A243" t="s">
        <v>270</v>
      </c>
      <c r="B243" s="1">
        <v>45739</v>
      </c>
      <c r="C243" t="s">
        <v>38</v>
      </c>
      <c r="D243" t="s">
        <v>13</v>
      </c>
      <c r="E243">
        <v>596</v>
      </c>
      <c r="F243" t="s">
        <v>43</v>
      </c>
      <c r="G243" t="s">
        <v>20</v>
      </c>
      <c r="H243">
        <v>126615</v>
      </c>
      <c r="I243">
        <v>164411</v>
      </c>
      <c r="J243" t="s">
        <v>16</v>
      </c>
      <c r="K243">
        <v>5</v>
      </c>
    </row>
    <row r="244" spans="1:11" x14ac:dyDescent="0.35">
      <c r="A244" t="s">
        <v>271</v>
      </c>
      <c r="B244" s="1">
        <v>45658</v>
      </c>
      <c r="C244" t="s">
        <v>22</v>
      </c>
      <c r="D244" t="s">
        <v>12</v>
      </c>
      <c r="E244">
        <v>776</v>
      </c>
      <c r="F244" t="s">
        <v>43</v>
      </c>
      <c r="G244" t="s">
        <v>15</v>
      </c>
      <c r="H244">
        <v>476102</v>
      </c>
      <c r="I244">
        <v>488020</v>
      </c>
      <c r="J244" t="s">
        <v>16</v>
      </c>
      <c r="K244">
        <v>1</v>
      </c>
    </row>
    <row r="245" spans="1:11" x14ac:dyDescent="0.35">
      <c r="A245" t="s">
        <v>272</v>
      </c>
      <c r="B245" s="1">
        <v>45699</v>
      </c>
      <c r="C245" t="s">
        <v>25</v>
      </c>
      <c r="D245" t="s">
        <v>38</v>
      </c>
      <c r="E245">
        <v>1077</v>
      </c>
      <c r="F245" t="s">
        <v>14</v>
      </c>
      <c r="G245" t="s">
        <v>15</v>
      </c>
      <c r="H245">
        <v>441069</v>
      </c>
      <c r="I245">
        <v>417212</v>
      </c>
      <c r="J245" t="s">
        <v>32</v>
      </c>
      <c r="K245">
        <v>7</v>
      </c>
    </row>
    <row r="246" spans="1:11" x14ac:dyDescent="0.35">
      <c r="A246" t="s">
        <v>273</v>
      </c>
      <c r="B246" s="1">
        <v>45680</v>
      </c>
      <c r="C246" t="s">
        <v>38</v>
      </c>
      <c r="D246" t="s">
        <v>23</v>
      </c>
      <c r="E246">
        <v>575</v>
      </c>
      <c r="F246" t="s">
        <v>43</v>
      </c>
      <c r="G246" t="s">
        <v>20</v>
      </c>
      <c r="H246">
        <v>380573</v>
      </c>
      <c r="I246">
        <v>427394</v>
      </c>
      <c r="J246" t="s">
        <v>16</v>
      </c>
      <c r="K246">
        <v>6</v>
      </c>
    </row>
    <row r="247" spans="1:11" x14ac:dyDescent="0.35">
      <c r="A247" t="s">
        <v>274</v>
      </c>
      <c r="B247" s="1">
        <v>45662</v>
      </c>
      <c r="C247" t="s">
        <v>23</v>
      </c>
      <c r="D247" t="s">
        <v>30</v>
      </c>
      <c r="E247">
        <v>913</v>
      </c>
      <c r="F247" t="s">
        <v>31</v>
      </c>
      <c r="G247" t="s">
        <v>20</v>
      </c>
      <c r="H247">
        <v>513118</v>
      </c>
      <c r="I247">
        <v>528048</v>
      </c>
      <c r="J247" t="s">
        <v>32</v>
      </c>
      <c r="K247">
        <v>2</v>
      </c>
    </row>
    <row r="248" spans="1:11" x14ac:dyDescent="0.35">
      <c r="A248" t="s">
        <v>275</v>
      </c>
      <c r="B248" s="1">
        <v>45675</v>
      </c>
      <c r="C248" t="s">
        <v>13</v>
      </c>
      <c r="D248" t="s">
        <v>22</v>
      </c>
      <c r="E248">
        <v>786</v>
      </c>
      <c r="F248" t="s">
        <v>46</v>
      </c>
      <c r="G248" t="s">
        <v>20</v>
      </c>
      <c r="H248">
        <v>249192</v>
      </c>
      <c r="I248">
        <v>258744</v>
      </c>
      <c r="J248" t="s">
        <v>32</v>
      </c>
      <c r="K248">
        <v>6</v>
      </c>
    </row>
    <row r="249" spans="1:11" x14ac:dyDescent="0.35">
      <c r="A249" t="s">
        <v>276</v>
      </c>
      <c r="B249" s="1">
        <v>45681</v>
      </c>
      <c r="C249" t="s">
        <v>30</v>
      </c>
      <c r="D249" t="s">
        <v>25</v>
      </c>
      <c r="E249">
        <v>777</v>
      </c>
      <c r="F249" t="s">
        <v>31</v>
      </c>
      <c r="G249" t="s">
        <v>20</v>
      </c>
      <c r="H249">
        <v>185193</v>
      </c>
      <c r="I249">
        <v>231022</v>
      </c>
      <c r="J249" t="s">
        <v>32</v>
      </c>
      <c r="K249">
        <v>4</v>
      </c>
    </row>
    <row r="250" spans="1:11" x14ac:dyDescent="0.35">
      <c r="A250" t="s">
        <v>277</v>
      </c>
      <c r="B250" s="1">
        <v>45712</v>
      </c>
      <c r="C250" t="s">
        <v>13</v>
      </c>
      <c r="D250" t="s">
        <v>23</v>
      </c>
      <c r="E250">
        <v>495</v>
      </c>
      <c r="F250" t="s">
        <v>26</v>
      </c>
      <c r="G250" t="s">
        <v>15</v>
      </c>
      <c r="H250">
        <v>192009</v>
      </c>
      <c r="I250">
        <v>222088</v>
      </c>
      <c r="J250" t="s">
        <v>32</v>
      </c>
      <c r="K250">
        <v>7</v>
      </c>
    </row>
    <row r="251" spans="1:11" x14ac:dyDescent="0.35">
      <c r="A251" t="s">
        <v>278</v>
      </c>
      <c r="B251" s="1">
        <v>45658</v>
      </c>
      <c r="C251" t="s">
        <v>18</v>
      </c>
      <c r="D251" t="s">
        <v>12</v>
      </c>
      <c r="E251">
        <v>478</v>
      </c>
      <c r="F251" t="s">
        <v>19</v>
      </c>
      <c r="G251" t="s">
        <v>20</v>
      </c>
      <c r="H251">
        <v>173721</v>
      </c>
      <c r="I251">
        <v>186301</v>
      </c>
      <c r="J251" t="s">
        <v>16</v>
      </c>
      <c r="K251">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958AB-465C-4883-99A4-A49524084905}">
  <dimension ref="A2:Q46"/>
  <sheetViews>
    <sheetView zoomScale="80" workbookViewId="0">
      <selection activeCell="K34" sqref="K34"/>
    </sheetView>
  </sheetViews>
  <sheetFormatPr defaultRowHeight="14.5" x14ac:dyDescent="0.35"/>
  <cols>
    <col min="1" max="1" width="13.36328125" bestFit="1" customWidth="1"/>
    <col min="2" max="2" width="19.453125" bestFit="1" customWidth="1"/>
    <col min="3" max="3" width="16.54296875" bestFit="1" customWidth="1"/>
    <col min="4" max="4" width="16.36328125" bestFit="1" customWidth="1"/>
    <col min="5" max="5" width="22.90625" bestFit="1" customWidth="1"/>
    <col min="6" max="6" width="19.453125" bestFit="1" customWidth="1"/>
    <col min="7" max="7" width="10.6328125" bestFit="1" customWidth="1"/>
    <col min="8" max="8" width="19.453125" bestFit="1" customWidth="1"/>
    <col min="9" max="9" width="16.453125" bestFit="1" customWidth="1"/>
    <col min="10" max="10" width="6.26953125" bestFit="1" customWidth="1"/>
    <col min="11" max="11" width="7.26953125" bestFit="1" customWidth="1"/>
    <col min="12" max="12" width="6.26953125" bestFit="1" customWidth="1"/>
    <col min="13" max="13" width="9.6328125" bestFit="1" customWidth="1"/>
    <col min="14" max="14" width="7.26953125" bestFit="1" customWidth="1"/>
    <col min="15" max="15" width="12.6328125" bestFit="1" customWidth="1"/>
    <col min="16" max="16" width="8.54296875" bestFit="1" customWidth="1"/>
    <col min="17" max="17" width="11" bestFit="1" customWidth="1"/>
  </cols>
  <sheetData>
    <row r="2" spans="1:10" ht="21" x14ac:dyDescent="0.5">
      <c r="A2" s="11"/>
      <c r="B2" s="8" t="s">
        <v>299</v>
      </c>
      <c r="C2" s="11"/>
      <c r="D2" s="11"/>
    </row>
    <row r="3" spans="1:10" x14ac:dyDescent="0.35">
      <c r="A3" t="s">
        <v>284</v>
      </c>
      <c r="B3" t="s">
        <v>285</v>
      </c>
      <c r="C3" t="s">
        <v>286</v>
      </c>
      <c r="D3" t="s">
        <v>287</v>
      </c>
      <c r="E3" t="s">
        <v>288</v>
      </c>
      <c r="F3" t="s">
        <v>289</v>
      </c>
      <c r="G3" t="s">
        <v>290</v>
      </c>
    </row>
    <row r="4" spans="1:10" x14ac:dyDescent="0.35">
      <c r="A4" s="9">
        <v>93070468</v>
      </c>
      <c r="B4" s="9">
        <v>3835428</v>
      </c>
      <c r="C4" s="9">
        <v>595.4375903676123</v>
      </c>
      <c r="D4" s="3">
        <v>250</v>
      </c>
      <c r="E4" s="10">
        <v>149</v>
      </c>
      <c r="F4" s="4">
        <v>0.40400000000000003</v>
      </c>
      <c r="G4" s="4">
        <v>0.59599999999999997</v>
      </c>
    </row>
    <row r="7" spans="1:10" x14ac:dyDescent="0.35">
      <c r="H7" s="11" t="s">
        <v>297</v>
      </c>
      <c r="I7" s="11"/>
      <c r="J7" s="11"/>
    </row>
    <row r="8" spans="1:10" x14ac:dyDescent="0.35">
      <c r="A8" s="13" t="s">
        <v>291</v>
      </c>
      <c r="B8" s="11"/>
      <c r="H8" s="5" t="s">
        <v>292</v>
      </c>
      <c r="I8" t="s">
        <v>295</v>
      </c>
      <c r="J8" t="s">
        <v>296</v>
      </c>
    </row>
    <row r="9" spans="1:10" x14ac:dyDescent="0.35">
      <c r="A9" s="5" t="s">
        <v>292</v>
      </c>
      <c r="B9" t="s">
        <v>284</v>
      </c>
      <c r="H9" s="6" t="s">
        <v>12</v>
      </c>
      <c r="I9" s="9">
        <v>15021265</v>
      </c>
      <c r="J9" s="9">
        <v>14570267</v>
      </c>
    </row>
    <row r="10" spans="1:10" x14ac:dyDescent="0.35">
      <c r="A10" s="6" t="s">
        <v>19</v>
      </c>
      <c r="B10" s="9">
        <v>14562579</v>
      </c>
      <c r="H10" s="6" t="s">
        <v>22</v>
      </c>
      <c r="I10" s="9">
        <v>11806632</v>
      </c>
      <c r="J10" s="9">
        <v>11465286</v>
      </c>
    </row>
    <row r="11" spans="1:10" x14ac:dyDescent="0.35">
      <c r="A11" s="6" t="s">
        <v>43</v>
      </c>
      <c r="B11" s="9">
        <v>16564934</v>
      </c>
      <c r="H11" s="6" t="s">
        <v>38</v>
      </c>
      <c r="I11" s="9">
        <v>10388427</v>
      </c>
      <c r="J11" s="9">
        <v>10089003</v>
      </c>
    </row>
    <row r="12" spans="1:10" x14ac:dyDescent="0.35">
      <c r="A12" s="6" t="s">
        <v>14</v>
      </c>
      <c r="B12" s="9">
        <v>16069370</v>
      </c>
      <c r="H12" s="6" t="s">
        <v>13</v>
      </c>
      <c r="I12" s="9">
        <v>9310038</v>
      </c>
      <c r="J12" s="9">
        <v>8609392</v>
      </c>
    </row>
    <row r="13" spans="1:10" x14ac:dyDescent="0.35">
      <c r="A13" s="6" t="s">
        <v>31</v>
      </c>
      <c r="B13" s="9">
        <v>16830147</v>
      </c>
      <c r="H13" s="6" t="s">
        <v>30</v>
      </c>
      <c r="I13" s="9">
        <v>14513190</v>
      </c>
      <c r="J13" s="9">
        <v>14053005</v>
      </c>
    </row>
    <row r="14" spans="1:10" x14ac:dyDescent="0.35">
      <c r="A14" s="6" t="s">
        <v>26</v>
      </c>
      <c r="B14" s="9">
        <v>15052149</v>
      </c>
      <c r="H14" s="6" t="s">
        <v>23</v>
      </c>
      <c r="I14" s="9">
        <v>10360106</v>
      </c>
      <c r="J14" s="9">
        <v>9580459</v>
      </c>
    </row>
    <row r="15" spans="1:10" x14ac:dyDescent="0.35">
      <c r="A15" s="6" t="s">
        <v>46</v>
      </c>
      <c r="B15" s="9">
        <v>13991289</v>
      </c>
      <c r="H15" s="6" t="s">
        <v>25</v>
      </c>
      <c r="I15" s="9">
        <v>10335129</v>
      </c>
      <c r="J15" s="9">
        <v>9981290</v>
      </c>
    </row>
    <row r="16" spans="1:10" x14ac:dyDescent="0.35">
      <c r="A16" s="6" t="s">
        <v>293</v>
      </c>
      <c r="B16" s="9">
        <v>93070468</v>
      </c>
      <c r="H16" s="6" t="s">
        <v>18</v>
      </c>
      <c r="I16" s="9">
        <v>11335681</v>
      </c>
      <c r="J16" s="9">
        <v>10886338</v>
      </c>
    </row>
    <row r="17" spans="1:17" x14ac:dyDescent="0.35">
      <c r="H17" s="6" t="s">
        <v>293</v>
      </c>
      <c r="I17" s="9">
        <v>93070468</v>
      </c>
      <c r="J17" s="9">
        <v>89235040</v>
      </c>
    </row>
    <row r="19" spans="1:17" x14ac:dyDescent="0.35">
      <c r="H19" s="14" t="s">
        <v>298</v>
      </c>
      <c r="I19" s="11"/>
    </row>
    <row r="20" spans="1:17" x14ac:dyDescent="0.35">
      <c r="A20" s="11" t="s">
        <v>294</v>
      </c>
      <c r="B20" s="11"/>
      <c r="I20" s="5" t="s">
        <v>302</v>
      </c>
    </row>
    <row r="21" spans="1:17" x14ac:dyDescent="0.35">
      <c r="A21" s="5" t="s">
        <v>292</v>
      </c>
      <c r="B21" t="s">
        <v>284</v>
      </c>
      <c r="I21" t="s">
        <v>12</v>
      </c>
      <c r="J21" t="s">
        <v>22</v>
      </c>
      <c r="K21" t="s">
        <v>38</v>
      </c>
      <c r="L21" t="s">
        <v>13</v>
      </c>
      <c r="M21" t="s">
        <v>30</v>
      </c>
      <c r="N21" t="s">
        <v>23</v>
      </c>
      <c r="O21" t="s">
        <v>25</v>
      </c>
      <c r="P21" t="s">
        <v>18</v>
      </c>
      <c r="Q21" t="s">
        <v>293</v>
      </c>
    </row>
    <row r="22" spans="1:17" x14ac:dyDescent="0.35">
      <c r="A22" s="6" t="s">
        <v>15</v>
      </c>
      <c r="B22" s="7">
        <v>0.60381651889834698</v>
      </c>
      <c r="H22" t="s">
        <v>284</v>
      </c>
      <c r="I22" s="9">
        <v>11961011</v>
      </c>
      <c r="J22" s="9">
        <v>12708445</v>
      </c>
      <c r="K22" s="9">
        <v>10888605</v>
      </c>
      <c r="L22" s="9">
        <v>14286345</v>
      </c>
      <c r="M22" s="9">
        <v>11103276</v>
      </c>
      <c r="N22" s="9">
        <v>13553728</v>
      </c>
      <c r="O22" s="9">
        <v>7251039</v>
      </c>
      <c r="P22" s="9">
        <v>11318019</v>
      </c>
      <c r="Q22" s="9">
        <v>93070468</v>
      </c>
    </row>
    <row r="23" spans="1:17" x14ac:dyDescent="0.35">
      <c r="A23" s="6" t="s">
        <v>20</v>
      </c>
      <c r="B23" s="7">
        <v>0.39618348110165302</v>
      </c>
    </row>
    <row r="24" spans="1:17" x14ac:dyDescent="0.35">
      <c r="A24" s="6" t="s">
        <v>293</v>
      </c>
      <c r="B24" s="7">
        <v>1</v>
      </c>
    </row>
    <row r="29" spans="1:17" x14ac:dyDescent="0.35">
      <c r="A29" s="11" t="s">
        <v>294</v>
      </c>
      <c r="B29" s="11"/>
    </row>
    <row r="30" spans="1:17" x14ac:dyDescent="0.35">
      <c r="A30" s="5" t="s">
        <v>292</v>
      </c>
      <c r="B30" t="s">
        <v>284</v>
      </c>
    </row>
    <row r="31" spans="1:17" x14ac:dyDescent="0.35">
      <c r="A31" s="6" t="s">
        <v>32</v>
      </c>
      <c r="B31" s="7">
        <v>0.56822222060815253</v>
      </c>
    </row>
    <row r="32" spans="1:17" x14ac:dyDescent="0.35">
      <c r="A32" s="6" t="s">
        <v>16</v>
      </c>
      <c r="B32" s="7">
        <v>0.43177777939184747</v>
      </c>
    </row>
    <row r="33" spans="1:8" x14ac:dyDescent="0.35">
      <c r="A33" s="6" t="s">
        <v>293</v>
      </c>
      <c r="B33" s="7">
        <v>1</v>
      </c>
    </row>
    <row r="35" spans="1:8" ht="18.5" x14ac:dyDescent="0.45">
      <c r="D35" s="11"/>
      <c r="E35" s="11"/>
      <c r="F35" s="12" t="s">
        <v>300</v>
      </c>
      <c r="G35" s="11"/>
      <c r="H35" s="11"/>
    </row>
    <row r="36" spans="1:8" x14ac:dyDescent="0.35">
      <c r="E36" t="s">
        <v>284</v>
      </c>
      <c r="F36" t="s">
        <v>285</v>
      </c>
    </row>
    <row r="37" spans="1:8" x14ac:dyDescent="0.35">
      <c r="E37" s="9">
        <v>93070468</v>
      </c>
      <c r="F37" s="9">
        <v>3835428</v>
      </c>
    </row>
    <row r="39" spans="1:8" x14ac:dyDescent="0.35">
      <c r="E39" t="s">
        <v>285</v>
      </c>
      <c r="F39" t="s">
        <v>284</v>
      </c>
    </row>
    <row r="40" spans="1:8" x14ac:dyDescent="0.35">
      <c r="E40" s="9">
        <v>3835428</v>
      </c>
      <c r="F40" s="9">
        <v>93070468</v>
      </c>
    </row>
    <row r="42" spans="1:8" x14ac:dyDescent="0.35">
      <c r="E42" t="s">
        <v>286</v>
      </c>
      <c r="F42" t="s">
        <v>301</v>
      </c>
    </row>
    <row r="43" spans="1:8" x14ac:dyDescent="0.35">
      <c r="E43" s="9">
        <v>595.4375903676123</v>
      </c>
      <c r="F43" s="3">
        <v>1186</v>
      </c>
    </row>
    <row r="45" spans="1:8" x14ac:dyDescent="0.35">
      <c r="E45" t="s">
        <v>289</v>
      </c>
      <c r="F45" t="s">
        <v>290</v>
      </c>
    </row>
    <row r="46" spans="1:8" x14ac:dyDescent="0.35">
      <c r="E46" s="4">
        <v>0.40400000000000003</v>
      </c>
      <c r="F46" s="4">
        <v>0.59599999999999997</v>
      </c>
    </row>
  </sheetData>
  <conditionalFormatting pivot="1" sqref="I9:J17">
    <cfRule type="colorScale" priority="8">
      <colorScale>
        <cfvo type="min"/>
        <cfvo type="percentile" val="50"/>
        <cfvo type="max"/>
        <color rgb="FFF8696B"/>
        <color rgb="FFFFEB84"/>
        <color rgb="FF63BE7B"/>
      </colorScale>
    </cfRule>
  </conditionalFormatting>
  <conditionalFormatting pivot="1" sqref="I22:Q22">
    <cfRule type="colorScale" priority="7">
      <colorScale>
        <cfvo type="min"/>
        <cfvo type="percentile" val="50"/>
        <cfvo type="max"/>
        <color rgb="FFF8696B"/>
        <color rgb="FFFFEB84"/>
        <color rgb="FF63BE7B"/>
      </colorScale>
    </cfRule>
  </conditionalFormatting>
  <conditionalFormatting pivot="1" sqref="B10:B16">
    <cfRule type="colorScale" priority="6">
      <colorScale>
        <cfvo type="min"/>
        <cfvo type="percentile" val="50"/>
        <cfvo type="max"/>
        <color rgb="FFF8696B"/>
        <color rgb="FFFFEB84"/>
        <color rgb="FF63BE7B"/>
      </colorScale>
    </cfRule>
  </conditionalFormatting>
  <conditionalFormatting pivot="1" sqref="B22:B24">
    <cfRule type="colorScale" priority="5">
      <colorScale>
        <cfvo type="min"/>
        <cfvo type="percentile" val="50"/>
        <cfvo type="max"/>
        <color rgb="FFF8696B"/>
        <color rgb="FFFFEB84"/>
        <color rgb="FF63BE7B"/>
      </colorScale>
    </cfRule>
  </conditionalFormatting>
  <conditionalFormatting pivot="1" sqref="B31:B33">
    <cfRule type="colorScale" priority="4">
      <colorScale>
        <cfvo type="min"/>
        <cfvo type="percentile" val="50"/>
        <cfvo type="max"/>
        <color rgb="FFF8696B"/>
        <color rgb="FFFFEB84"/>
        <color rgb="FF63BE7B"/>
      </colorScale>
    </cfRule>
  </conditionalFormatting>
  <conditionalFormatting pivot="1" sqref="E37">
    <cfRule type="colorScale" priority="3">
      <colorScale>
        <cfvo type="min"/>
        <cfvo type="percentile" val="50"/>
        <cfvo type="max"/>
        <color rgb="FFF8696B"/>
        <color rgb="FFFFEB84"/>
        <color rgb="FF63BE7B"/>
      </colorScale>
    </cfRule>
  </conditionalFormatting>
  <conditionalFormatting pivot="1" sqref="F40">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9F7A-C0E8-4CBC-8F30-15A684D4A125}">
  <dimension ref="A1"/>
  <sheetViews>
    <sheetView showGridLines="0" tabSelected="1" topLeftCell="D1" zoomScale="61" zoomScaleNormal="70" workbookViewId="0">
      <selection activeCell="AH40" sqref="AH40"/>
    </sheetView>
  </sheetViews>
  <sheetFormatPr defaultRowHeight="14.5" x14ac:dyDescent="0.35"/>
  <cols>
    <col min="1" max="16384" width="8.7265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1"/>
  <sheetViews>
    <sheetView workbookViewId="0">
      <selection activeCell="D16" sqref="D16"/>
    </sheetView>
  </sheetViews>
  <sheetFormatPr defaultRowHeight="14.5" x14ac:dyDescent="0.35"/>
  <cols>
    <col min="1" max="1" width="16.1796875" bestFit="1" customWidth="1"/>
    <col min="2" max="2" width="13.54296875" bestFit="1" customWidth="1"/>
    <col min="3" max="3" width="13.08984375" bestFit="1" customWidth="1"/>
    <col min="4" max="4" width="14.81640625" bestFit="1" customWidth="1"/>
    <col min="5" max="5" width="21.1796875" bestFit="1" customWidth="1"/>
    <col min="6" max="6" width="15.81640625" bestFit="1" customWidth="1"/>
  </cols>
  <sheetData>
    <row r="1" spans="1:6" x14ac:dyDescent="0.35">
      <c r="A1" s="2" t="s">
        <v>0</v>
      </c>
      <c r="B1" s="2" t="s">
        <v>279</v>
      </c>
      <c r="C1" s="2" t="s">
        <v>280</v>
      </c>
      <c r="D1" s="2" t="s">
        <v>281</v>
      </c>
      <c r="E1" s="2" t="s">
        <v>282</v>
      </c>
      <c r="F1" s="2" t="s">
        <v>283</v>
      </c>
    </row>
    <row r="2" spans="1:6" x14ac:dyDescent="0.35">
      <c r="A2" t="s">
        <v>11</v>
      </c>
      <c r="B2">
        <v>118363</v>
      </c>
      <c r="C2">
        <v>30137</v>
      </c>
      <c r="D2">
        <v>35435</v>
      </c>
      <c r="E2">
        <v>44277</v>
      </c>
      <c r="F2">
        <v>29699</v>
      </c>
    </row>
    <row r="3" spans="1:6" x14ac:dyDescent="0.35">
      <c r="A3" t="s">
        <v>17</v>
      </c>
      <c r="B3">
        <v>119990</v>
      </c>
      <c r="C3">
        <v>26602</v>
      </c>
      <c r="D3">
        <v>39788</v>
      </c>
      <c r="E3">
        <v>53172</v>
      </c>
      <c r="F3">
        <v>28687</v>
      </c>
    </row>
    <row r="4" spans="1:6" x14ac:dyDescent="0.35">
      <c r="A4" t="s">
        <v>21</v>
      </c>
      <c r="B4">
        <v>200176</v>
      </c>
      <c r="C4">
        <v>5749</v>
      </c>
      <c r="D4">
        <v>37141</v>
      </c>
      <c r="E4">
        <v>57839</v>
      </c>
      <c r="F4">
        <v>16781</v>
      </c>
    </row>
    <row r="5" spans="1:6" x14ac:dyDescent="0.35">
      <c r="A5" t="s">
        <v>24</v>
      </c>
      <c r="B5">
        <v>231605</v>
      </c>
      <c r="C5">
        <v>20486</v>
      </c>
      <c r="D5">
        <v>24071</v>
      </c>
      <c r="E5">
        <v>58764</v>
      </c>
      <c r="F5">
        <v>8873</v>
      </c>
    </row>
    <row r="6" spans="1:6" x14ac:dyDescent="0.35">
      <c r="A6" t="s">
        <v>27</v>
      </c>
      <c r="B6">
        <v>172000</v>
      </c>
      <c r="C6">
        <v>25106</v>
      </c>
      <c r="D6">
        <v>30467</v>
      </c>
      <c r="E6">
        <v>41569</v>
      </c>
      <c r="F6">
        <v>27481</v>
      </c>
    </row>
    <row r="7" spans="1:6" x14ac:dyDescent="0.35">
      <c r="A7" t="s">
        <v>28</v>
      </c>
      <c r="B7">
        <v>181732</v>
      </c>
      <c r="C7">
        <v>25380</v>
      </c>
      <c r="D7">
        <v>65238</v>
      </c>
      <c r="E7">
        <v>22694</v>
      </c>
      <c r="F7">
        <v>25929</v>
      </c>
    </row>
    <row r="8" spans="1:6" x14ac:dyDescent="0.35">
      <c r="A8" t="s">
        <v>29</v>
      </c>
      <c r="B8">
        <v>290158</v>
      </c>
      <c r="C8">
        <v>24335</v>
      </c>
      <c r="D8">
        <v>44087</v>
      </c>
      <c r="E8">
        <v>55280</v>
      </c>
      <c r="F8">
        <v>12236</v>
      </c>
    </row>
    <row r="9" spans="1:6" x14ac:dyDescent="0.35">
      <c r="A9" t="s">
        <v>33</v>
      </c>
      <c r="B9">
        <v>107443</v>
      </c>
      <c r="C9">
        <v>13753</v>
      </c>
      <c r="D9">
        <v>51338</v>
      </c>
      <c r="E9">
        <v>25039</v>
      </c>
      <c r="F9">
        <v>19908</v>
      </c>
    </row>
    <row r="10" spans="1:6" x14ac:dyDescent="0.35">
      <c r="A10" t="s">
        <v>34</v>
      </c>
      <c r="B10">
        <v>246014</v>
      </c>
      <c r="C10">
        <v>29485</v>
      </c>
      <c r="D10">
        <v>47252</v>
      </c>
      <c r="E10">
        <v>50994</v>
      </c>
      <c r="F10">
        <v>20428</v>
      </c>
    </row>
    <row r="11" spans="1:6" x14ac:dyDescent="0.35">
      <c r="A11" t="s">
        <v>35</v>
      </c>
      <c r="B11">
        <v>248534</v>
      </c>
      <c r="C11">
        <v>19313</v>
      </c>
      <c r="D11">
        <v>69929</v>
      </c>
      <c r="E11">
        <v>31217</v>
      </c>
      <c r="F11">
        <v>27293</v>
      </c>
    </row>
    <row r="12" spans="1:6" x14ac:dyDescent="0.35">
      <c r="A12" t="s">
        <v>36</v>
      </c>
      <c r="B12">
        <v>247850</v>
      </c>
      <c r="C12">
        <v>10365</v>
      </c>
      <c r="D12">
        <v>54439</v>
      </c>
      <c r="E12">
        <v>44278</v>
      </c>
      <c r="F12">
        <v>22307</v>
      </c>
    </row>
    <row r="13" spans="1:6" x14ac:dyDescent="0.35">
      <c r="A13" t="s">
        <v>37</v>
      </c>
      <c r="B13">
        <v>234488</v>
      </c>
      <c r="C13">
        <v>28709</v>
      </c>
      <c r="D13">
        <v>25118</v>
      </c>
      <c r="E13">
        <v>51973</v>
      </c>
      <c r="F13">
        <v>8676</v>
      </c>
    </row>
    <row r="14" spans="1:6" x14ac:dyDescent="0.35">
      <c r="A14" t="s">
        <v>39</v>
      </c>
      <c r="B14">
        <v>66189</v>
      </c>
      <c r="C14">
        <v>38127</v>
      </c>
      <c r="D14">
        <v>33248</v>
      </c>
      <c r="E14">
        <v>52532</v>
      </c>
      <c r="F14">
        <v>22585</v>
      </c>
    </row>
    <row r="15" spans="1:6" x14ac:dyDescent="0.35">
      <c r="A15" t="s">
        <v>40</v>
      </c>
      <c r="B15">
        <v>89282</v>
      </c>
      <c r="C15">
        <v>15783</v>
      </c>
      <c r="D15">
        <v>41503</v>
      </c>
      <c r="E15">
        <v>49101</v>
      </c>
      <c r="F15">
        <v>19478</v>
      </c>
    </row>
    <row r="16" spans="1:6" x14ac:dyDescent="0.35">
      <c r="A16" t="s">
        <v>41</v>
      </c>
      <c r="B16">
        <v>80471</v>
      </c>
      <c r="C16">
        <v>18461</v>
      </c>
      <c r="D16">
        <v>66983</v>
      </c>
      <c r="E16">
        <v>53217</v>
      </c>
      <c r="F16">
        <v>21017</v>
      </c>
    </row>
    <row r="17" spans="1:6" x14ac:dyDescent="0.35">
      <c r="A17" t="s">
        <v>42</v>
      </c>
      <c r="B17">
        <v>73839</v>
      </c>
      <c r="C17">
        <v>38447</v>
      </c>
      <c r="D17">
        <v>49195</v>
      </c>
      <c r="E17">
        <v>18646</v>
      </c>
      <c r="F17">
        <v>19858</v>
      </c>
    </row>
    <row r="18" spans="1:6" x14ac:dyDescent="0.35">
      <c r="A18" t="s">
        <v>44</v>
      </c>
      <c r="B18">
        <v>84588</v>
      </c>
      <c r="C18">
        <v>38636</v>
      </c>
      <c r="D18">
        <v>47225</v>
      </c>
      <c r="E18">
        <v>44936</v>
      </c>
      <c r="F18">
        <v>23478</v>
      </c>
    </row>
    <row r="19" spans="1:6" x14ac:dyDescent="0.35">
      <c r="A19" t="s">
        <v>45</v>
      </c>
      <c r="B19">
        <v>65135</v>
      </c>
      <c r="C19">
        <v>35302</v>
      </c>
      <c r="D19">
        <v>64090</v>
      </c>
      <c r="E19">
        <v>35196</v>
      </c>
      <c r="F19">
        <v>28700</v>
      </c>
    </row>
    <row r="20" spans="1:6" x14ac:dyDescent="0.35">
      <c r="A20" t="s">
        <v>47</v>
      </c>
      <c r="B20">
        <v>55706</v>
      </c>
      <c r="C20">
        <v>30948</v>
      </c>
      <c r="D20">
        <v>36676</v>
      </c>
      <c r="E20">
        <v>15197</v>
      </c>
      <c r="F20">
        <v>29438</v>
      </c>
    </row>
    <row r="21" spans="1:6" x14ac:dyDescent="0.35">
      <c r="A21" t="s">
        <v>48</v>
      </c>
      <c r="B21">
        <v>107121</v>
      </c>
      <c r="C21">
        <v>9786</v>
      </c>
      <c r="D21">
        <v>22968</v>
      </c>
      <c r="E21">
        <v>42767</v>
      </c>
      <c r="F21">
        <v>16289</v>
      </c>
    </row>
    <row r="22" spans="1:6" x14ac:dyDescent="0.35">
      <c r="A22" t="s">
        <v>49</v>
      </c>
      <c r="B22">
        <v>233601</v>
      </c>
      <c r="C22">
        <v>9178</v>
      </c>
      <c r="D22">
        <v>55465</v>
      </c>
      <c r="E22">
        <v>18948</v>
      </c>
      <c r="F22">
        <v>7261</v>
      </c>
    </row>
    <row r="23" spans="1:6" x14ac:dyDescent="0.35">
      <c r="A23" t="s">
        <v>50</v>
      </c>
      <c r="B23">
        <v>294783</v>
      </c>
      <c r="C23">
        <v>35937</v>
      </c>
      <c r="D23">
        <v>22079</v>
      </c>
      <c r="E23">
        <v>33814</v>
      </c>
      <c r="F23">
        <v>18397</v>
      </c>
    </row>
    <row r="24" spans="1:6" x14ac:dyDescent="0.35">
      <c r="A24" t="s">
        <v>51</v>
      </c>
      <c r="B24">
        <v>97181</v>
      </c>
      <c r="C24">
        <v>13875</v>
      </c>
      <c r="D24">
        <v>70189</v>
      </c>
      <c r="E24">
        <v>57042</v>
      </c>
      <c r="F24">
        <v>28897</v>
      </c>
    </row>
    <row r="25" spans="1:6" x14ac:dyDescent="0.35">
      <c r="A25" t="s">
        <v>52</v>
      </c>
      <c r="B25">
        <v>219313</v>
      </c>
      <c r="C25">
        <v>32548</v>
      </c>
      <c r="D25">
        <v>44540</v>
      </c>
      <c r="E25">
        <v>40066</v>
      </c>
      <c r="F25">
        <v>19697</v>
      </c>
    </row>
    <row r="26" spans="1:6" x14ac:dyDescent="0.35">
      <c r="A26" t="s">
        <v>53</v>
      </c>
      <c r="B26">
        <v>277965</v>
      </c>
      <c r="C26">
        <v>29739</v>
      </c>
      <c r="D26">
        <v>44618</v>
      </c>
      <c r="E26">
        <v>20259</v>
      </c>
      <c r="F26">
        <v>27371</v>
      </c>
    </row>
    <row r="27" spans="1:6" x14ac:dyDescent="0.35">
      <c r="A27" t="s">
        <v>54</v>
      </c>
      <c r="B27">
        <v>223484</v>
      </c>
      <c r="C27">
        <v>13715</v>
      </c>
      <c r="D27">
        <v>62830</v>
      </c>
      <c r="E27">
        <v>37791</v>
      </c>
      <c r="F27">
        <v>8887</v>
      </c>
    </row>
    <row r="28" spans="1:6" x14ac:dyDescent="0.35">
      <c r="A28" t="s">
        <v>55</v>
      </c>
      <c r="B28">
        <v>96785</v>
      </c>
      <c r="C28">
        <v>30759</v>
      </c>
      <c r="D28">
        <v>54658</v>
      </c>
      <c r="E28">
        <v>23345</v>
      </c>
      <c r="F28">
        <v>28850</v>
      </c>
    </row>
    <row r="29" spans="1:6" x14ac:dyDescent="0.35">
      <c r="A29" t="s">
        <v>56</v>
      </c>
      <c r="B29">
        <v>108376</v>
      </c>
      <c r="C29">
        <v>5227</v>
      </c>
      <c r="D29">
        <v>69556</v>
      </c>
      <c r="E29">
        <v>16489</v>
      </c>
      <c r="F29">
        <v>14776</v>
      </c>
    </row>
    <row r="30" spans="1:6" x14ac:dyDescent="0.35">
      <c r="A30" t="s">
        <v>57</v>
      </c>
      <c r="B30">
        <v>171373</v>
      </c>
      <c r="C30">
        <v>32795</v>
      </c>
      <c r="D30">
        <v>54860</v>
      </c>
      <c r="E30">
        <v>39856</v>
      </c>
      <c r="F30">
        <v>12525</v>
      </c>
    </row>
    <row r="31" spans="1:6" x14ac:dyDescent="0.35">
      <c r="A31" t="s">
        <v>58</v>
      </c>
      <c r="B31">
        <v>114883</v>
      </c>
      <c r="C31">
        <v>35187</v>
      </c>
      <c r="D31">
        <v>42685</v>
      </c>
      <c r="E31">
        <v>25166</v>
      </c>
      <c r="F31">
        <v>14032</v>
      </c>
    </row>
    <row r="32" spans="1:6" x14ac:dyDescent="0.35">
      <c r="A32" t="s">
        <v>59</v>
      </c>
      <c r="B32">
        <v>99409</v>
      </c>
      <c r="C32">
        <v>12395</v>
      </c>
      <c r="D32">
        <v>22111</v>
      </c>
      <c r="E32">
        <v>58266</v>
      </c>
      <c r="F32">
        <v>18737</v>
      </c>
    </row>
    <row r="33" spans="1:6" x14ac:dyDescent="0.35">
      <c r="A33" t="s">
        <v>60</v>
      </c>
      <c r="B33">
        <v>211198</v>
      </c>
      <c r="C33">
        <v>6025</v>
      </c>
      <c r="D33">
        <v>35772</v>
      </c>
      <c r="E33">
        <v>28505</v>
      </c>
      <c r="F33">
        <v>7204</v>
      </c>
    </row>
    <row r="34" spans="1:6" x14ac:dyDescent="0.35">
      <c r="A34" t="s">
        <v>61</v>
      </c>
      <c r="B34">
        <v>76449</v>
      </c>
      <c r="C34">
        <v>7200</v>
      </c>
      <c r="D34">
        <v>49257</v>
      </c>
      <c r="E34">
        <v>54176</v>
      </c>
      <c r="F34">
        <v>27020</v>
      </c>
    </row>
    <row r="35" spans="1:6" x14ac:dyDescent="0.35">
      <c r="A35" t="s">
        <v>62</v>
      </c>
      <c r="B35">
        <v>234362</v>
      </c>
      <c r="C35">
        <v>8190</v>
      </c>
      <c r="D35">
        <v>36038</v>
      </c>
      <c r="E35">
        <v>17899</v>
      </c>
      <c r="F35">
        <v>18181</v>
      </c>
    </row>
    <row r="36" spans="1:6" x14ac:dyDescent="0.35">
      <c r="A36" t="s">
        <v>63</v>
      </c>
      <c r="B36">
        <v>165071</v>
      </c>
      <c r="C36">
        <v>20357</v>
      </c>
      <c r="D36">
        <v>55373</v>
      </c>
      <c r="E36">
        <v>29238</v>
      </c>
      <c r="F36">
        <v>29719</v>
      </c>
    </row>
    <row r="37" spans="1:6" x14ac:dyDescent="0.35">
      <c r="A37" t="s">
        <v>64</v>
      </c>
      <c r="B37">
        <v>276421</v>
      </c>
      <c r="C37">
        <v>8699</v>
      </c>
      <c r="D37">
        <v>29183</v>
      </c>
      <c r="E37">
        <v>48023</v>
      </c>
      <c r="F37">
        <v>14478</v>
      </c>
    </row>
    <row r="38" spans="1:6" x14ac:dyDescent="0.35">
      <c r="A38" t="s">
        <v>65</v>
      </c>
      <c r="B38">
        <v>111384</v>
      </c>
      <c r="C38">
        <v>25899</v>
      </c>
      <c r="D38">
        <v>57845</v>
      </c>
      <c r="E38">
        <v>54185</v>
      </c>
      <c r="F38">
        <v>27037</v>
      </c>
    </row>
    <row r="39" spans="1:6" x14ac:dyDescent="0.35">
      <c r="A39" t="s">
        <v>66</v>
      </c>
      <c r="B39">
        <v>264534</v>
      </c>
      <c r="C39">
        <v>26015</v>
      </c>
      <c r="D39">
        <v>35525</v>
      </c>
      <c r="E39">
        <v>34776</v>
      </c>
      <c r="F39">
        <v>9694</v>
      </c>
    </row>
    <row r="40" spans="1:6" x14ac:dyDescent="0.35">
      <c r="A40" t="s">
        <v>67</v>
      </c>
      <c r="B40">
        <v>223070</v>
      </c>
      <c r="C40">
        <v>39160</v>
      </c>
      <c r="D40">
        <v>34486</v>
      </c>
      <c r="E40">
        <v>42103</v>
      </c>
      <c r="F40">
        <v>14846</v>
      </c>
    </row>
    <row r="41" spans="1:6" x14ac:dyDescent="0.35">
      <c r="A41" t="s">
        <v>68</v>
      </c>
      <c r="B41">
        <v>122129</v>
      </c>
      <c r="C41">
        <v>8994</v>
      </c>
      <c r="D41">
        <v>56485</v>
      </c>
      <c r="E41">
        <v>53775</v>
      </c>
      <c r="F41">
        <v>29091</v>
      </c>
    </row>
    <row r="42" spans="1:6" x14ac:dyDescent="0.35">
      <c r="A42" t="s">
        <v>69</v>
      </c>
      <c r="B42">
        <v>288964</v>
      </c>
      <c r="C42">
        <v>16477</v>
      </c>
      <c r="D42">
        <v>61025</v>
      </c>
      <c r="E42">
        <v>59482</v>
      </c>
      <c r="F42">
        <v>18998</v>
      </c>
    </row>
    <row r="43" spans="1:6" x14ac:dyDescent="0.35">
      <c r="A43" t="s">
        <v>70</v>
      </c>
      <c r="B43">
        <v>195712</v>
      </c>
      <c r="C43">
        <v>37481</v>
      </c>
      <c r="D43">
        <v>23072</v>
      </c>
      <c r="E43">
        <v>37571</v>
      </c>
      <c r="F43">
        <v>26080</v>
      </c>
    </row>
    <row r="44" spans="1:6" x14ac:dyDescent="0.35">
      <c r="A44" t="s">
        <v>71</v>
      </c>
      <c r="B44">
        <v>225988</v>
      </c>
      <c r="C44">
        <v>29979</v>
      </c>
      <c r="D44">
        <v>71498</v>
      </c>
      <c r="E44">
        <v>49371</v>
      </c>
      <c r="F44">
        <v>15444</v>
      </c>
    </row>
    <row r="45" spans="1:6" x14ac:dyDescent="0.35">
      <c r="A45" t="s">
        <v>72</v>
      </c>
      <c r="B45">
        <v>232533</v>
      </c>
      <c r="C45">
        <v>32284</v>
      </c>
      <c r="D45">
        <v>46755</v>
      </c>
      <c r="E45">
        <v>24779</v>
      </c>
      <c r="F45">
        <v>14826</v>
      </c>
    </row>
    <row r="46" spans="1:6" x14ac:dyDescent="0.35">
      <c r="A46" t="s">
        <v>73</v>
      </c>
      <c r="B46">
        <v>148686</v>
      </c>
      <c r="C46">
        <v>17050</v>
      </c>
      <c r="D46">
        <v>69441</v>
      </c>
      <c r="E46">
        <v>50253</v>
      </c>
      <c r="F46">
        <v>20516</v>
      </c>
    </row>
    <row r="47" spans="1:6" x14ac:dyDescent="0.35">
      <c r="A47" t="s">
        <v>74</v>
      </c>
      <c r="B47">
        <v>113168</v>
      </c>
      <c r="C47">
        <v>19768</v>
      </c>
      <c r="D47">
        <v>39709</v>
      </c>
      <c r="E47">
        <v>24460</v>
      </c>
      <c r="F47">
        <v>20172</v>
      </c>
    </row>
    <row r="48" spans="1:6" x14ac:dyDescent="0.35">
      <c r="A48" t="s">
        <v>75</v>
      </c>
      <c r="B48">
        <v>289793</v>
      </c>
      <c r="C48">
        <v>8776</v>
      </c>
      <c r="D48">
        <v>56856</v>
      </c>
      <c r="E48">
        <v>42045</v>
      </c>
      <c r="F48">
        <v>18648</v>
      </c>
    </row>
    <row r="49" spans="1:6" x14ac:dyDescent="0.35">
      <c r="A49" t="s">
        <v>76</v>
      </c>
      <c r="B49">
        <v>196089</v>
      </c>
      <c r="C49">
        <v>39733</v>
      </c>
      <c r="D49">
        <v>28787</v>
      </c>
      <c r="E49">
        <v>40455</v>
      </c>
      <c r="F49">
        <v>12957</v>
      </c>
    </row>
    <row r="50" spans="1:6" x14ac:dyDescent="0.35">
      <c r="A50" t="s">
        <v>77</v>
      </c>
      <c r="B50">
        <v>116845</v>
      </c>
      <c r="C50">
        <v>18325</v>
      </c>
      <c r="D50">
        <v>41644</v>
      </c>
      <c r="E50">
        <v>57382</v>
      </c>
      <c r="F50">
        <v>7590</v>
      </c>
    </row>
    <row r="51" spans="1:6" x14ac:dyDescent="0.35">
      <c r="A51" t="s">
        <v>78</v>
      </c>
      <c r="B51">
        <v>291756</v>
      </c>
      <c r="C51">
        <v>34477</v>
      </c>
      <c r="D51">
        <v>75517</v>
      </c>
      <c r="E51">
        <v>39318</v>
      </c>
      <c r="F51">
        <v>8029</v>
      </c>
    </row>
    <row r="52" spans="1:6" x14ac:dyDescent="0.35">
      <c r="A52" t="s">
        <v>79</v>
      </c>
      <c r="B52">
        <v>190413</v>
      </c>
      <c r="C52">
        <v>17483</v>
      </c>
      <c r="D52">
        <v>23377</v>
      </c>
      <c r="E52">
        <v>32593</v>
      </c>
      <c r="F52">
        <v>17359</v>
      </c>
    </row>
    <row r="53" spans="1:6" x14ac:dyDescent="0.35">
      <c r="A53" t="s">
        <v>80</v>
      </c>
      <c r="B53">
        <v>226599</v>
      </c>
      <c r="C53">
        <v>7591</v>
      </c>
      <c r="D53">
        <v>77253</v>
      </c>
      <c r="E53">
        <v>19769</v>
      </c>
      <c r="F53">
        <v>11165</v>
      </c>
    </row>
    <row r="54" spans="1:6" x14ac:dyDescent="0.35">
      <c r="A54" t="s">
        <v>81</v>
      </c>
      <c r="B54">
        <v>260934</v>
      </c>
      <c r="C54">
        <v>19222</v>
      </c>
      <c r="D54">
        <v>51417</v>
      </c>
      <c r="E54">
        <v>28689</v>
      </c>
      <c r="F54">
        <v>15910</v>
      </c>
    </row>
    <row r="55" spans="1:6" x14ac:dyDescent="0.35">
      <c r="A55" t="s">
        <v>82</v>
      </c>
      <c r="B55">
        <v>129478</v>
      </c>
      <c r="C55">
        <v>6004</v>
      </c>
      <c r="D55">
        <v>33881</v>
      </c>
      <c r="E55">
        <v>27453</v>
      </c>
      <c r="F55">
        <v>29296</v>
      </c>
    </row>
    <row r="56" spans="1:6" x14ac:dyDescent="0.35">
      <c r="A56" t="s">
        <v>83</v>
      </c>
      <c r="B56">
        <v>80753</v>
      </c>
      <c r="C56">
        <v>36386</v>
      </c>
      <c r="D56">
        <v>79928</v>
      </c>
      <c r="E56">
        <v>30898</v>
      </c>
      <c r="F56">
        <v>27794</v>
      </c>
    </row>
    <row r="57" spans="1:6" x14ac:dyDescent="0.35">
      <c r="A57" t="s">
        <v>84</v>
      </c>
      <c r="B57">
        <v>208440</v>
      </c>
      <c r="C57">
        <v>18402</v>
      </c>
      <c r="D57">
        <v>45993</v>
      </c>
      <c r="E57">
        <v>30684</v>
      </c>
      <c r="F57">
        <v>23090</v>
      </c>
    </row>
    <row r="58" spans="1:6" x14ac:dyDescent="0.35">
      <c r="A58" t="s">
        <v>85</v>
      </c>
      <c r="B58">
        <v>134309</v>
      </c>
      <c r="C58">
        <v>23550</v>
      </c>
      <c r="D58">
        <v>44947</v>
      </c>
      <c r="E58">
        <v>45556</v>
      </c>
      <c r="F58">
        <v>22486</v>
      </c>
    </row>
    <row r="59" spans="1:6" x14ac:dyDescent="0.35">
      <c r="A59" t="s">
        <v>86</v>
      </c>
      <c r="B59">
        <v>220058</v>
      </c>
      <c r="C59">
        <v>28544</v>
      </c>
      <c r="D59">
        <v>40212</v>
      </c>
      <c r="E59">
        <v>32141</v>
      </c>
      <c r="F59">
        <v>16784</v>
      </c>
    </row>
    <row r="60" spans="1:6" x14ac:dyDescent="0.35">
      <c r="A60" t="s">
        <v>87</v>
      </c>
      <c r="B60">
        <v>184431</v>
      </c>
      <c r="C60">
        <v>37589</v>
      </c>
      <c r="D60">
        <v>50540</v>
      </c>
      <c r="E60">
        <v>21462</v>
      </c>
      <c r="F60">
        <v>28672</v>
      </c>
    </row>
    <row r="61" spans="1:6" x14ac:dyDescent="0.35">
      <c r="A61" t="s">
        <v>88</v>
      </c>
      <c r="B61">
        <v>173074</v>
      </c>
      <c r="C61">
        <v>25986</v>
      </c>
      <c r="D61">
        <v>79921</v>
      </c>
      <c r="E61">
        <v>28312</v>
      </c>
      <c r="F61">
        <v>17147</v>
      </c>
    </row>
    <row r="62" spans="1:6" x14ac:dyDescent="0.35">
      <c r="A62" t="s">
        <v>89</v>
      </c>
      <c r="B62">
        <v>132030</v>
      </c>
      <c r="C62">
        <v>32127</v>
      </c>
      <c r="D62">
        <v>22996</v>
      </c>
      <c r="E62">
        <v>51865</v>
      </c>
      <c r="F62">
        <v>12250</v>
      </c>
    </row>
    <row r="63" spans="1:6" x14ac:dyDescent="0.35">
      <c r="A63" t="s">
        <v>90</v>
      </c>
      <c r="B63">
        <v>244314</v>
      </c>
      <c r="C63">
        <v>14563</v>
      </c>
      <c r="D63">
        <v>21062</v>
      </c>
      <c r="E63">
        <v>32090</v>
      </c>
      <c r="F63">
        <v>23130</v>
      </c>
    </row>
    <row r="64" spans="1:6" x14ac:dyDescent="0.35">
      <c r="A64" t="s">
        <v>91</v>
      </c>
      <c r="B64">
        <v>295041</v>
      </c>
      <c r="C64">
        <v>32366</v>
      </c>
      <c r="D64">
        <v>39345</v>
      </c>
      <c r="E64">
        <v>24988</v>
      </c>
      <c r="F64">
        <v>11428</v>
      </c>
    </row>
    <row r="65" spans="1:6" x14ac:dyDescent="0.35">
      <c r="A65" t="s">
        <v>92</v>
      </c>
      <c r="B65">
        <v>136472</v>
      </c>
      <c r="C65">
        <v>20074</v>
      </c>
      <c r="D65">
        <v>44893</v>
      </c>
      <c r="E65">
        <v>52341</v>
      </c>
      <c r="F65">
        <v>13052</v>
      </c>
    </row>
    <row r="66" spans="1:6" x14ac:dyDescent="0.35">
      <c r="A66" t="s">
        <v>93</v>
      </c>
      <c r="B66">
        <v>180888</v>
      </c>
      <c r="C66">
        <v>27122</v>
      </c>
      <c r="D66">
        <v>36864</v>
      </c>
      <c r="E66">
        <v>47022</v>
      </c>
      <c r="F66">
        <v>28709</v>
      </c>
    </row>
    <row r="67" spans="1:6" x14ac:dyDescent="0.35">
      <c r="A67" t="s">
        <v>94</v>
      </c>
      <c r="B67">
        <v>218216</v>
      </c>
      <c r="C67">
        <v>37151</v>
      </c>
      <c r="D67">
        <v>50200</v>
      </c>
      <c r="E67">
        <v>26025</v>
      </c>
      <c r="F67">
        <v>29011</v>
      </c>
    </row>
    <row r="68" spans="1:6" x14ac:dyDescent="0.35">
      <c r="A68" t="s">
        <v>95</v>
      </c>
      <c r="B68">
        <v>258398</v>
      </c>
      <c r="C68">
        <v>28080</v>
      </c>
      <c r="D68">
        <v>31092</v>
      </c>
      <c r="E68">
        <v>24172</v>
      </c>
      <c r="F68">
        <v>28603</v>
      </c>
    </row>
    <row r="69" spans="1:6" x14ac:dyDescent="0.35">
      <c r="A69" t="s">
        <v>96</v>
      </c>
      <c r="B69">
        <v>193273</v>
      </c>
      <c r="C69">
        <v>37002</v>
      </c>
      <c r="D69">
        <v>32061</v>
      </c>
      <c r="E69">
        <v>50529</v>
      </c>
      <c r="F69">
        <v>26030</v>
      </c>
    </row>
    <row r="70" spans="1:6" x14ac:dyDescent="0.35">
      <c r="A70" t="s">
        <v>97</v>
      </c>
      <c r="B70">
        <v>65396</v>
      </c>
      <c r="C70">
        <v>39337</v>
      </c>
      <c r="D70">
        <v>22216</v>
      </c>
      <c r="E70">
        <v>19871</v>
      </c>
      <c r="F70">
        <v>26896</v>
      </c>
    </row>
    <row r="71" spans="1:6" x14ac:dyDescent="0.35">
      <c r="A71" t="s">
        <v>98</v>
      </c>
      <c r="B71">
        <v>62717</v>
      </c>
      <c r="C71">
        <v>5418</v>
      </c>
      <c r="D71">
        <v>47026</v>
      </c>
      <c r="E71">
        <v>24010</v>
      </c>
      <c r="F71">
        <v>25666</v>
      </c>
    </row>
    <row r="72" spans="1:6" x14ac:dyDescent="0.35">
      <c r="A72" t="s">
        <v>99</v>
      </c>
      <c r="B72">
        <v>110668</v>
      </c>
      <c r="C72">
        <v>9454</v>
      </c>
      <c r="D72">
        <v>66345</v>
      </c>
      <c r="E72">
        <v>24897</v>
      </c>
      <c r="F72">
        <v>5299</v>
      </c>
    </row>
    <row r="73" spans="1:6" x14ac:dyDescent="0.35">
      <c r="A73" t="s">
        <v>100</v>
      </c>
      <c r="B73">
        <v>107336</v>
      </c>
      <c r="C73">
        <v>38143</v>
      </c>
      <c r="D73">
        <v>49885</v>
      </c>
      <c r="E73">
        <v>39458</v>
      </c>
      <c r="F73">
        <v>6980</v>
      </c>
    </row>
    <row r="74" spans="1:6" x14ac:dyDescent="0.35">
      <c r="A74" t="s">
        <v>101</v>
      </c>
      <c r="B74">
        <v>211961</v>
      </c>
      <c r="C74">
        <v>36667</v>
      </c>
      <c r="D74">
        <v>63206</v>
      </c>
      <c r="E74">
        <v>46972</v>
      </c>
      <c r="F74">
        <v>5515</v>
      </c>
    </row>
    <row r="75" spans="1:6" x14ac:dyDescent="0.35">
      <c r="A75" t="s">
        <v>102</v>
      </c>
      <c r="B75">
        <v>51733</v>
      </c>
      <c r="C75">
        <v>39879</v>
      </c>
      <c r="D75">
        <v>56152</v>
      </c>
      <c r="E75">
        <v>41957</v>
      </c>
      <c r="F75">
        <v>5388</v>
      </c>
    </row>
    <row r="76" spans="1:6" x14ac:dyDescent="0.35">
      <c r="A76" t="s">
        <v>103</v>
      </c>
      <c r="B76">
        <v>54384</v>
      </c>
      <c r="C76">
        <v>39695</v>
      </c>
      <c r="D76">
        <v>67329</v>
      </c>
      <c r="E76">
        <v>33005</v>
      </c>
      <c r="F76">
        <v>22555</v>
      </c>
    </row>
    <row r="77" spans="1:6" x14ac:dyDescent="0.35">
      <c r="A77" t="s">
        <v>104</v>
      </c>
      <c r="B77">
        <v>125153</v>
      </c>
      <c r="C77">
        <v>6123</v>
      </c>
      <c r="D77">
        <v>52913</v>
      </c>
      <c r="E77">
        <v>59173</v>
      </c>
      <c r="F77">
        <v>19109</v>
      </c>
    </row>
    <row r="78" spans="1:6" x14ac:dyDescent="0.35">
      <c r="A78" t="s">
        <v>105</v>
      </c>
      <c r="B78">
        <v>261332</v>
      </c>
      <c r="C78">
        <v>16748</v>
      </c>
      <c r="D78">
        <v>27013</v>
      </c>
      <c r="E78">
        <v>21312</v>
      </c>
      <c r="F78">
        <v>22183</v>
      </c>
    </row>
    <row r="79" spans="1:6" x14ac:dyDescent="0.35">
      <c r="A79" t="s">
        <v>106</v>
      </c>
      <c r="B79">
        <v>89032</v>
      </c>
      <c r="C79">
        <v>20792</v>
      </c>
      <c r="D79">
        <v>32578</v>
      </c>
      <c r="E79">
        <v>55617</v>
      </c>
      <c r="F79">
        <v>22250</v>
      </c>
    </row>
    <row r="80" spans="1:6" x14ac:dyDescent="0.35">
      <c r="A80" t="s">
        <v>107</v>
      </c>
      <c r="B80">
        <v>116169</v>
      </c>
      <c r="C80">
        <v>28228</v>
      </c>
      <c r="D80">
        <v>37519</v>
      </c>
      <c r="E80">
        <v>41011</v>
      </c>
      <c r="F80">
        <v>7589</v>
      </c>
    </row>
    <row r="81" spans="1:6" x14ac:dyDescent="0.35">
      <c r="A81" t="s">
        <v>108</v>
      </c>
      <c r="B81">
        <v>147793</v>
      </c>
      <c r="C81">
        <v>31609</v>
      </c>
      <c r="D81">
        <v>50080</v>
      </c>
      <c r="E81">
        <v>52027</v>
      </c>
      <c r="F81">
        <v>12969</v>
      </c>
    </row>
    <row r="82" spans="1:6" x14ac:dyDescent="0.35">
      <c r="A82" t="s">
        <v>109</v>
      </c>
      <c r="B82">
        <v>232776</v>
      </c>
      <c r="C82">
        <v>19801</v>
      </c>
      <c r="D82">
        <v>39659</v>
      </c>
      <c r="E82">
        <v>59829</v>
      </c>
      <c r="F82">
        <v>7641</v>
      </c>
    </row>
    <row r="83" spans="1:6" x14ac:dyDescent="0.35">
      <c r="A83" t="s">
        <v>110</v>
      </c>
      <c r="B83">
        <v>221372</v>
      </c>
      <c r="C83">
        <v>7076</v>
      </c>
      <c r="D83">
        <v>26127</v>
      </c>
      <c r="E83">
        <v>41560</v>
      </c>
      <c r="F83">
        <v>17427</v>
      </c>
    </row>
    <row r="84" spans="1:6" x14ac:dyDescent="0.35">
      <c r="A84" t="s">
        <v>111</v>
      </c>
      <c r="B84">
        <v>148872</v>
      </c>
      <c r="C84">
        <v>36195</v>
      </c>
      <c r="D84">
        <v>23677</v>
      </c>
      <c r="E84">
        <v>56729</v>
      </c>
      <c r="F84">
        <v>5309</v>
      </c>
    </row>
    <row r="85" spans="1:6" x14ac:dyDescent="0.35">
      <c r="A85" t="s">
        <v>112</v>
      </c>
      <c r="B85">
        <v>234246</v>
      </c>
      <c r="C85">
        <v>16231</v>
      </c>
      <c r="D85">
        <v>25418</v>
      </c>
      <c r="E85">
        <v>47758</v>
      </c>
      <c r="F85">
        <v>19218</v>
      </c>
    </row>
    <row r="86" spans="1:6" x14ac:dyDescent="0.35">
      <c r="A86" t="s">
        <v>113</v>
      </c>
      <c r="B86">
        <v>219058</v>
      </c>
      <c r="C86">
        <v>26710</v>
      </c>
      <c r="D86">
        <v>57083</v>
      </c>
      <c r="E86">
        <v>21249</v>
      </c>
      <c r="F86">
        <v>22306</v>
      </c>
    </row>
    <row r="87" spans="1:6" x14ac:dyDescent="0.35">
      <c r="A87" t="s">
        <v>114</v>
      </c>
      <c r="B87">
        <v>290950</v>
      </c>
      <c r="C87">
        <v>7788</v>
      </c>
      <c r="D87">
        <v>35057</v>
      </c>
      <c r="E87">
        <v>28855</v>
      </c>
      <c r="F87">
        <v>27684</v>
      </c>
    </row>
    <row r="88" spans="1:6" x14ac:dyDescent="0.35">
      <c r="A88" t="s">
        <v>115</v>
      </c>
      <c r="B88">
        <v>282667</v>
      </c>
      <c r="C88">
        <v>36162</v>
      </c>
      <c r="D88">
        <v>37766</v>
      </c>
      <c r="E88">
        <v>18051</v>
      </c>
      <c r="F88">
        <v>7436</v>
      </c>
    </row>
    <row r="89" spans="1:6" x14ac:dyDescent="0.35">
      <c r="A89" t="s">
        <v>116</v>
      </c>
      <c r="B89">
        <v>229418</v>
      </c>
      <c r="C89">
        <v>23374</v>
      </c>
      <c r="D89">
        <v>78937</v>
      </c>
      <c r="E89">
        <v>50588</v>
      </c>
      <c r="F89">
        <v>23465</v>
      </c>
    </row>
    <row r="90" spans="1:6" x14ac:dyDescent="0.35">
      <c r="A90" t="s">
        <v>117</v>
      </c>
      <c r="B90">
        <v>222519</v>
      </c>
      <c r="C90">
        <v>7156</v>
      </c>
      <c r="D90">
        <v>31754</v>
      </c>
      <c r="E90">
        <v>35610</v>
      </c>
      <c r="F90">
        <v>5513</v>
      </c>
    </row>
    <row r="91" spans="1:6" x14ac:dyDescent="0.35">
      <c r="A91" t="s">
        <v>118</v>
      </c>
      <c r="B91">
        <v>104305</v>
      </c>
      <c r="C91">
        <v>14449</v>
      </c>
      <c r="D91">
        <v>69299</v>
      </c>
      <c r="E91">
        <v>41102</v>
      </c>
      <c r="F91">
        <v>7521</v>
      </c>
    </row>
    <row r="92" spans="1:6" x14ac:dyDescent="0.35">
      <c r="A92" t="s">
        <v>119</v>
      </c>
      <c r="B92">
        <v>128453</v>
      </c>
      <c r="C92">
        <v>15646</v>
      </c>
      <c r="D92">
        <v>56959</v>
      </c>
      <c r="E92">
        <v>30759</v>
      </c>
      <c r="F92">
        <v>23569</v>
      </c>
    </row>
    <row r="93" spans="1:6" x14ac:dyDescent="0.35">
      <c r="A93" t="s">
        <v>120</v>
      </c>
      <c r="B93">
        <v>268798</v>
      </c>
      <c r="C93">
        <v>30503</v>
      </c>
      <c r="D93">
        <v>64370</v>
      </c>
      <c r="E93">
        <v>50426</v>
      </c>
      <c r="F93">
        <v>15870</v>
      </c>
    </row>
    <row r="94" spans="1:6" x14ac:dyDescent="0.35">
      <c r="A94" t="s">
        <v>121</v>
      </c>
      <c r="B94">
        <v>150622</v>
      </c>
      <c r="C94">
        <v>14171</v>
      </c>
      <c r="D94">
        <v>71806</v>
      </c>
      <c r="E94">
        <v>20139</v>
      </c>
      <c r="F94">
        <v>21409</v>
      </c>
    </row>
    <row r="95" spans="1:6" x14ac:dyDescent="0.35">
      <c r="A95" t="s">
        <v>122</v>
      </c>
      <c r="B95">
        <v>245416</v>
      </c>
      <c r="C95">
        <v>27666</v>
      </c>
      <c r="D95">
        <v>23519</v>
      </c>
      <c r="E95">
        <v>21401</v>
      </c>
      <c r="F95">
        <v>19322</v>
      </c>
    </row>
    <row r="96" spans="1:6" x14ac:dyDescent="0.35">
      <c r="A96" t="s">
        <v>123</v>
      </c>
      <c r="B96">
        <v>110855</v>
      </c>
      <c r="C96">
        <v>9981</v>
      </c>
      <c r="D96">
        <v>42321</v>
      </c>
      <c r="E96">
        <v>54660</v>
      </c>
      <c r="F96">
        <v>25115</v>
      </c>
    </row>
    <row r="97" spans="1:6" x14ac:dyDescent="0.35">
      <c r="A97" t="s">
        <v>124</v>
      </c>
      <c r="B97">
        <v>206135</v>
      </c>
      <c r="C97">
        <v>30998</v>
      </c>
      <c r="D97">
        <v>70695</v>
      </c>
      <c r="E97">
        <v>36389</v>
      </c>
      <c r="F97">
        <v>5970</v>
      </c>
    </row>
    <row r="98" spans="1:6" x14ac:dyDescent="0.35">
      <c r="A98" t="s">
        <v>125</v>
      </c>
      <c r="B98">
        <v>216231</v>
      </c>
      <c r="C98">
        <v>22912</v>
      </c>
      <c r="D98">
        <v>71350</v>
      </c>
      <c r="E98">
        <v>44527</v>
      </c>
      <c r="F98">
        <v>21076</v>
      </c>
    </row>
    <row r="99" spans="1:6" x14ac:dyDescent="0.35">
      <c r="A99" t="s">
        <v>126</v>
      </c>
      <c r="B99">
        <v>109805</v>
      </c>
      <c r="C99">
        <v>28318</v>
      </c>
      <c r="D99">
        <v>56243</v>
      </c>
      <c r="E99">
        <v>39603</v>
      </c>
      <c r="F99">
        <v>19150</v>
      </c>
    </row>
    <row r="100" spans="1:6" x14ac:dyDescent="0.35">
      <c r="A100" t="s">
        <v>127</v>
      </c>
      <c r="B100">
        <v>98690</v>
      </c>
      <c r="C100">
        <v>29908</v>
      </c>
      <c r="D100">
        <v>25616</v>
      </c>
      <c r="E100">
        <v>55541</v>
      </c>
      <c r="F100">
        <v>14678</v>
      </c>
    </row>
    <row r="101" spans="1:6" x14ac:dyDescent="0.35">
      <c r="A101" t="s">
        <v>128</v>
      </c>
      <c r="B101">
        <v>259205</v>
      </c>
      <c r="C101">
        <v>21151</v>
      </c>
      <c r="D101">
        <v>66734</v>
      </c>
      <c r="E101">
        <v>19817</v>
      </c>
      <c r="F101">
        <v>7688</v>
      </c>
    </row>
    <row r="102" spans="1:6" x14ac:dyDescent="0.35">
      <c r="A102" t="s">
        <v>129</v>
      </c>
      <c r="B102">
        <v>120247</v>
      </c>
      <c r="C102">
        <v>15107</v>
      </c>
      <c r="D102">
        <v>44903</v>
      </c>
      <c r="E102">
        <v>56543</v>
      </c>
      <c r="F102">
        <v>10055</v>
      </c>
    </row>
    <row r="103" spans="1:6" x14ac:dyDescent="0.35">
      <c r="A103" t="s">
        <v>130</v>
      </c>
      <c r="B103">
        <v>243896</v>
      </c>
      <c r="C103">
        <v>30534</v>
      </c>
      <c r="D103">
        <v>40753</v>
      </c>
      <c r="E103">
        <v>38638</v>
      </c>
      <c r="F103">
        <v>8491</v>
      </c>
    </row>
    <row r="104" spans="1:6" x14ac:dyDescent="0.35">
      <c r="A104" t="s">
        <v>131</v>
      </c>
      <c r="B104">
        <v>73991</v>
      </c>
      <c r="C104">
        <v>5340</v>
      </c>
      <c r="D104">
        <v>40202</v>
      </c>
      <c r="E104">
        <v>44146</v>
      </c>
      <c r="F104">
        <v>16793</v>
      </c>
    </row>
    <row r="105" spans="1:6" x14ac:dyDescent="0.35">
      <c r="A105" t="s">
        <v>132</v>
      </c>
      <c r="B105">
        <v>249582</v>
      </c>
      <c r="C105">
        <v>22679</v>
      </c>
      <c r="D105">
        <v>26699</v>
      </c>
      <c r="E105">
        <v>23683</v>
      </c>
      <c r="F105">
        <v>7860</v>
      </c>
    </row>
    <row r="106" spans="1:6" x14ac:dyDescent="0.35">
      <c r="A106" t="s">
        <v>133</v>
      </c>
      <c r="B106">
        <v>99123</v>
      </c>
      <c r="C106">
        <v>33244</v>
      </c>
      <c r="D106">
        <v>49415</v>
      </c>
      <c r="E106">
        <v>51502</v>
      </c>
      <c r="F106">
        <v>23177</v>
      </c>
    </row>
    <row r="107" spans="1:6" x14ac:dyDescent="0.35">
      <c r="A107" t="s">
        <v>134</v>
      </c>
      <c r="B107">
        <v>184333</v>
      </c>
      <c r="C107">
        <v>31741</v>
      </c>
      <c r="D107">
        <v>26769</v>
      </c>
      <c r="E107">
        <v>16721</v>
      </c>
      <c r="F107">
        <v>7936</v>
      </c>
    </row>
    <row r="108" spans="1:6" x14ac:dyDescent="0.35">
      <c r="A108" t="s">
        <v>135</v>
      </c>
      <c r="B108">
        <v>142776</v>
      </c>
      <c r="C108">
        <v>11099</v>
      </c>
      <c r="D108">
        <v>59120</v>
      </c>
      <c r="E108">
        <v>54193</v>
      </c>
      <c r="F108">
        <v>15630</v>
      </c>
    </row>
    <row r="109" spans="1:6" x14ac:dyDescent="0.35">
      <c r="A109" t="s">
        <v>136</v>
      </c>
      <c r="B109">
        <v>276418</v>
      </c>
      <c r="C109">
        <v>30246</v>
      </c>
      <c r="D109">
        <v>20808</v>
      </c>
      <c r="E109">
        <v>34126</v>
      </c>
      <c r="F109">
        <v>18559</v>
      </c>
    </row>
    <row r="110" spans="1:6" x14ac:dyDescent="0.35">
      <c r="A110" t="s">
        <v>137</v>
      </c>
      <c r="B110">
        <v>151659</v>
      </c>
      <c r="C110">
        <v>10550</v>
      </c>
      <c r="D110">
        <v>67503</v>
      </c>
      <c r="E110">
        <v>51669</v>
      </c>
      <c r="F110">
        <v>12954</v>
      </c>
    </row>
    <row r="111" spans="1:6" x14ac:dyDescent="0.35">
      <c r="A111" t="s">
        <v>138</v>
      </c>
      <c r="B111">
        <v>199935</v>
      </c>
      <c r="C111">
        <v>39151</v>
      </c>
      <c r="D111">
        <v>31113</v>
      </c>
      <c r="E111">
        <v>59912</v>
      </c>
      <c r="F111">
        <v>17475</v>
      </c>
    </row>
    <row r="112" spans="1:6" x14ac:dyDescent="0.35">
      <c r="A112" t="s">
        <v>139</v>
      </c>
      <c r="B112">
        <v>94433</v>
      </c>
      <c r="C112">
        <v>14099</v>
      </c>
      <c r="D112">
        <v>37623</v>
      </c>
      <c r="E112">
        <v>34734</v>
      </c>
      <c r="F112">
        <v>13795</v>
      </c>
    </row>
    <row r="113" spans="1:6" x14ac:dyDescent="0.35">
      <c r="A113" t="s">
        <v>140</v>
      </c>
      <c r="B113">
        <v>179269</v>
      </c>
      <c r="C113">
        <v>14563</v>
      </c>
      <c r="D113">
        <v>24146</v>
      </c>
      <c r="E113">
        <v>25958</v>
      </c>
      <c r="F113">
        <v>19243</v>
      </c>
    </row>
    <row r="114" spans="1:6" x14ac:dyDescent="0.35">
      <c r="A114" t="s">
        <v>141</v>
      </c>
      <c r="B114">
        <v>122341</v>
      </c>
      <c r="C114">
        <v>32597</v>
      </c>
      <c r="D114">
        <v>39644</v>
      </c>
      <c r="E114">
        <v>46734</v>
      </c>
      <c r="F114">
        <v>7520</v>
      </c>
    </row>
    <row r="115" spans="1:6" x14ac:dyDescent="0.35">
      <c r="A115" t="s">
        <v>142</v>
      </c>
      <c r="B115">
        <v>144666</v>
      </c>
      <c r="C115">
        <v>21495</v>
      </c>
      <c r="D115">
        <v>36160</v>
      </c>
      <c r="E115">
        <v>55962</v>
      </c>
      <c r="F115">
        <v>21246</v>
      </c>
    </row>
    <row r="116" spans="1:6" x14ac:dyDescent="0.35">
      <c r="A116" t="s">
        <v>143</v>
      </c>
      <c r="B116">
        <v>205662</v>
      </c>
      <c r="C116">
        <v>17815</v>
      </c>
      <c r="D116">
        <v>50006</v>
      </c>
      <c r="E116">
        <v>22010</v>
      </c>
      <c r="F116">
        <v>9439</v>
      </c>
    </row>
    <row r="117" spans="1:6" x14ac:dyDescent="0.35">
      <c r="A117" t="s">
        <v>144</v>
      </c>
      <c r="B117">
        <v>129864</v>
      </c>
      <c r="C117">
        <v>5443</v>
      </c>
      <c r="D117">
        <v>45932</v>
      </c>
      <c r="E117">
        <v>36772</v>
      </c>
      <c r="F117">
        <v>25322</v>
      </c>
    </row>
    <row r="118" spans="1:6" x14ac:dyDescent="0.35">
      <c r="A118" t="s">
        <v>145</v>
      </c>
      <c r="B118">
        <v>149585</v>
      </c>
      <c r="C118">
        <v>26596</v>
      </c>
      <c r="D118">
        <v>48850</v>
      </c>
      <c r="E118">
        <v>36937</v>
      </c>
      <c r="F118">
        <v>19110</v>
      </c>
    </row>
    <row r="119" spans="1:6" x14ac:dyDescent="0.35">
      <c r="A119" t="s">
        <v>146</v>
      </c>
      <c r="B119">
        <v>263772</v>
      </c>
      <c r="C119">
        <v>13921</v>
      </c>
      <c r="D119">
        <v>39689</v>
      </c>
      <c r="E119">
        <v>36015</v>
      </c>
      <c r="F119">
        <v>24766</v>
      </c>
    </row>
    <row r="120" spans="1:6" x14ac:dyDescent="0.35">
      <c r="A120" t="s">
        <v>147</v>
      </c>
      <c r="B120">
        <v>298323</v>
      </c>
      <c r="C120">
        <v>18163</v>
      </c>
      <c r="D120">
        <v>51392</v>
      </c>
      <c r="E120">
        <v>35590</v>
      </c>
      <c r="F120">
        <v>10820</v>
      </c>
    </row>
    <row r="121" spans="1:6" x14ac:dyDescent="0.35">
      <c r="A121" t="s">
        <v>148</v>
      </c>
      <c r="B121">
        <v>154396</v>
      </c>
      <c r="C121">
        <v>25915</v>
      </c>
      <c r="D121">
        <v>39100</v>
      </c>
      <c r="E121">
        <v>56477</v>
      </c>
      <c r="F121">
        <v>21089</v>
      </c>
    </row>
    <row r="122" spans="1:6" x14ac:dyDescent="0.35">
      <c r="A122" t="s">
        <v>149</v>
      </c>
      <c r="B122">
        <v>200963</v>
      </c>
      <c r="C122">
        <v>20887</v>
      </c>
      <c r="D122">
        <v>41357</v>
      </c>
      <c r="E122">
        <v>39645</v>
      </c>
      <c r="F122">
        <v>14184</v>
      </c>
    </row>
    <row r="123" spans="1:6" x14ac:dyDescent="0.35">
      <c r="A123" t="s">
        <v>150</v>
      </c>
      <c r="B123">
        <v>264039</v>
      </c>
      <c r="C123">
        <v>30751</v>
      </c>
      <c r="D123">
        <v>43921</v>
      </c>
      <c r="E123">
        <v>22463</v>
      </c>
      <c r="F123">
        <v>23476</v>
      </c>
    </row>
    <row r="124" spans="1:6" x14ac:dyDescent="0.35">
      <c r="A124" t="s">
        <v>151</v>
      </c>
      <c r="B124">
        <v>102376</v>
      </c>
      <c r="C124">
        <v>16791</v>
      </c>
      <c r="D124">
        <v>64676</v>
      </c>
      <c r="E124">
        <v>51051</v>
      </c>
      <c r="F124">
        <v>5881</v>
      </c>
    </row>
    <row r="125" spans="1:6" x14ac:dyDescent="0.35">
      <c r="A125" t="s">
        <v>152</v>
      </c>
      <c r="B125">
        <v>299824</v>
      </c>
      <c r="C125">
        <v>35252</v>
      </c>
      <c r="D125">
        <v>66423</v>
      </c>
      <c r="E125">
        <v>28739</v>
      </c>
      <c r="F125">
        <v>19367</v>
      </c>
    </row>
    <row r="126" spans="1:6" x14ac:dyDescent="0.35">
      <c r="A126" t="s">
        <v>153</v>
      </c>
      <c r="B126">
        <v>259108</v>
      </c>
      <c r="C126">
        <v>24092</v>
      </c>
      <c r="D126">
        <v>74478</v>
      </c>
      <c r="E126">
        <v>19532</v>
      </c>
      <c r="F126">
        <v>18406</v>
      </c>
    </row>
    <row r="127" spans="1:6" x14ac:dyDescent="0.35">
      <c r="A127" t="s">
        <v>154</v>
      </c>
      <c r="B127">
        <v>226417</v>
      </c>
      <c r="C127">
        <v>37722</v>
      </c>
      <c r="D127">
        <v>29121</v>
      </c>
      <c r="E127">
        <v>56506</v>
      </c>
      <c r="F127">
        <v>14923</v>
      </c>
    </row>
    <row r="128" spans="1:6" x14ac:dyDescent="0.35">
      <c r="A128" t="s">
        <v>155</v>
      </c>
      <c r="B128">
        <v>113444</v>
      </c>
      <c r="C128">
        <v>21559</v>
      </c>
      <c r="D128">
        <v>63166</v>
      </c>
      <c r="E128">
        <v>25101</v>
      </c>
      <c r="F128">
        <v>28436</v>
      </c>
    </row>
    <row r="129" spans="1:6" x14ac:dyDescent="0.35">
      <c r="A129" t="s">
        <v>156</v>
      </c>
      <c r="B129">
        <v>160920</v>
      </c>
      <c r="C129">
        <v>29706</v>
      </c>
      <c r="D129">
        <v>24847</v>
      </c>
      <c r="E129">
        <v>44430</v>
      </c>
      <c r="F129">
        <v>24593</v>
      </c>
    </row>
    <row r="130" spans="1:6" x14ac:dyDescent="0.35">
      <c r="A130" t="s">
        <v>157</v>
      </c>
      <c r="B130">
        <v>175628</v>
      </c>
      <c r="C130">
        <v>31267</v>
      </c>
      <c r="D130">
        <v>55020</v>
      </c>
      <c r="E130">
        <v>48201</v>
      </c>
      <c r="F130">
        <v>27665</v>
      </c>
    </row>
    <row r="131" spans="1:6" x14ac:dyDescent="0.35">
      <c r="A131" t="s">
        <v>158</v>
      </c>
      <c r="B131">
        <v>159655</v>
      </c>
      <c r="C131">
        <v>7409</v>
      </c>
      <c r="D131">
        <v>71820</v>
      </c>
      <c r="E131">
        <v>38562</v>
      </c>
      <c r="F131">
        <v>27991</v>
      </c>
    </row>
    <row r="132" spans="1:6" x14ac:dyDescent="0.35">
      <c r="A132" t="s">
        <v>159</v>
      </c>
      <c r="B132">
        <v>284750</v>
      </c>
      <c r="C132">
        <v>10569</v>
      </c>
      <c r="D132">
        <v>27167</v>
      </c>
      <c r="E132">
        <v>31268</v>
      </c>
      <c r="F132">
        <v>26548</v>
      </c>
    </row>
    <row r="133" spans="1:6" x14ac:dyDescent="0.35">
      <c r="A133" t="s">
        <v>160</v>
      </c>
      <c r="B133">
        <v>224245</v>
      </c>
      <c r="C133">
        <v>28265</v>
      </c>
      <c r="D133">
        <v>30901</v>
      </c>
      <c r="E133">
        <v>57401</v>
      </c>
      <c r="F133">
        <v>25076</v>
      </c>
    </row>
    <row r="134" spans="1:6" x14ac:dyDescent="0.35">
      <c r="A134" t="s">
        <v>161</v>
      </c>
      <c r="B134">
        <v>61612</v>
      </c>
      <c r="C134">
        <v>31189</v>
      </c>
      <c r="D134">
        <v>69327</v>
      </c>
      <c r="E134">
        <v>36731</v>
      </c>
      <c r="F134">
        <v>19105</v>
      </c>
    </row>
    <row r="135" spans="1:6" x14ac:dyDescent="0.35">
      <c r="A135" t="s">
        <v>162</v>
      </c>
      <c r="B135">
        <v>77772</v>
      </c>
      <c r="C135">
        <v>5691</v>
      </c>
      <c r="D135">
        <v>26462</v>
      </c>
      <c r="E135">
        <v>31956</v>
      </c>
      <c r="F135">
        <v>12274</v>
      </c>
    </row>
    <row r="136" spans="1:6" x14ac:dyDescent="0.35">
      <c r="A136" t="s">
        <v>163</v>
      </c>
      <c r="B136">
        <v>183870</v>
      </c>
      <c r="C136">
        <v>38999</v>
      </c>
      <c r="D136">
        <v>56568</v>
      </c>
      <c r="E136">
        <v>53044</v>
      </c>
      <c r="F136">
        <v>27533</v>
      </c>
    </row>
    <row r="137" spans="1:6" x14ac:dyDescent="0.35">
      <c r="A137" t="s">
        <v>164</v>
      </c>
      <c r="B137">
        <v>200794</v>
      </c>
      <c r="C137">
        <v>19485</v>
      </c>
      <c r="D137">
        <v>49214</v>
      </c>
      <c r="E137">
        <v>39518</v>
      </c>
      <c r="F137">
        <v>17816</v>
      </c>
    </row>
    <row r="138" spans="1:6" x14ac:dyDescent="0.35">
      <c r="A138" t="s">
        <v>165</v>
      </c>
      <c r="B138">
        <v>171389</v>
      </c>
      <c r="C138">
        <v>37798</v>
      </c>
      <c r="D138">
        <v>29879</v>
      </c>
      <c r="E138">
        <v>37607</v>
      </c>
      <c r="F138">
        <v>5804</v>
      </c>
    </row>
    <row r="139" spans="1:6" x14ac:dyDescent="0.35">
      <c r="A139" t="s">
        <v>166</v>
      </c>
      <c r="B139">
        <v>176555</v>
      </c>
      <c r="C139">
        <v>11851</v>
      </c>
      <c r="D139">
        <v>39361</v>
      </c>
      <c r="E139">
        <v>42261</v>
      </c>
      <c r="F139">
        <v>7813</v>
      </c>
    </row>
    <row r="140" spans="1:6" x14ac:dyDescent="0.35">
      <c r="A140" t="s">
        <v>167</v>
      </c>
      <c r="B140">
        <v>80426</v>
      </c>
      <c r="C140">
        <v>14284</v>
      </c>
      <c r="D140">
        <v>42828</v>
      </c>
      <c r="E140">
        <v>35440</v>
      </c>
      <c r="F140">
        <v>16241</v>
      </c>
    </row>
    <row r="141" spans="1:6" x14ac:dyDescent="0.35">
      <c r="A141" t="s">
        <v>168</v>
      </c>
      <c r="B141">
        <v>169362</v>
      </c>
      <c r="C141">
        <v>18557</v>
      </c>
      <c r="D141">
        <v>54151</v>
      </c>
      <c r="E141">
        <v>46649</v>
      </c>
      <c r="F141">
        <v>16413</v>
      </c>
    </row>
    <row r="142" spans="1:6" x14ac:dyDescent="0.35">
      <c r="A142" t="s">
        <v>169</v>
      </c>
      <c r="B142">
        <v>174823</v>
      </c>
      <c r="C142">
        <v>11397</v>
      </c>
      <c r="D142">
        <v>48715</v>
      </c>
      <c r="E142">
        <v>44651</v>
      </c>
      <c r="F142">
        <v>15450</v>
      </c>
    </row>
    <row r="143" spans="1:6" x14ac:dyDescent="0.35">
      <c r="A143" t="s">
        <v>170</v>
      </c>
      <c r="B143">
        <v>67609</v>
      </c>
      <c r="C143">
        <v>24678</v>
      </c>
      <c r="D143">
        <v>22928</v>
      </c>
      <c r="E143">
        <v>22542</v>
      </c>
      <c r="F143">
        <v>5740</v>
      </c>
    </row>
    <row r="144" spans="1:6" x14ac:dyDescent="0.35">
      <c r="A144" t="s">
        <v>171</v>
      </c>
      <c r="B144">
        <v>272607</v>
      </c>
      <c r="C144">
        <v>27483</v>
      </c>
      <c r="D144">
        <v>62465</v>
      </c>
      <c r="E144">
        <v>22167</v>
      </c>
      <c r="F144">
        <v>27188</v>
      </c>
    </row>
    <row r="145" spans="1:6" x14ac:dyDescent="0.35">
      <c r="A145" t="s">
        <v>172</v>
      </c>
      <c r="B145">
        <v>259728</v>
      </c>
      <c r="C145">
        <v>15771</v>
      </c>
      <c r="D145">
        <v>68528</v>
      </c>
      <c r="E145">
        <v>30985</v>
      </c>
      <c r="F145">
        <v>21908</v>
      </c>
    </row>
    <row r="146" spans="1:6" x14ac:dyDescent="0.35">
      <c r="A146" t="s">
        <v>173</v>
      </c>
      <c r="B146">
        <v>95731</v>
      </c>
      <c r="C146">
        <v>15494</v>
      </c>
      <c r="D146">
        <v>41691</v>
      </c>
      <c r="E146">
        <v>51690</v>
      </c>
      <c r="F146">
        <v>18971</v>
      </c>
    </row>
    <row r="147" spans="1:6" x14ac:dyDescent="0.35">
      <c r="A147" t="s">
        <v>174</v>
      </c>
      <c r="B147">
        <v>171124</v>
      </c>
      <c r="C147">
        <v>20194</v>
      </c>
      <c r="D147">
        <v>72281</v>
      </c>
      <c r="E147">
        <v>41545</v>
      </c>
      <c r="F147">
        <v>25635</v>
      </c>
    </row>
    <row r="148" spans="1:6" x14ac:dyDescent="0.35">
      <c r="A148" t="s">
        <v>175</v>
      </c>
      <c r="B148">
        <v>98352</v>
      </c>
      <c r="C148">
        <v>17215</v>
      </c>
      <c r="D148">
        <v>61974</v>
      </c>
      <c r="E148">
        <v>58077</v>
      </c>
      <c r="F148">
        <v>19160</v>
      </c>
    </row>
    <row r="149" spans="1:6" x14ac:dyDescent="0.35">
      <c r="A149" t="s">
        <v>176</v>
      </c>
      <c r="B149">
        <v>153699</v>
      </c>
      <c r="C149">
        <v>6913</v>
      </c>
      <c r="D149">
        <v>68325</v>
      </c>
      <c r="E149">
        <v>55246</v>
      </c>
      <c r="F149">
        <v>11465</v>
      </c>
    </row>
    <row r="150" spans="1:6" x14ac:dyDescent="0.35">
      <c r="A150" t="s">
        <v>177</v>
      </c>
      <c r="B150">
        <v>167853</v>
      </c>
      <c r="C150">
        <v>33151</v>
      </c>
      <c r="D150">
        <v>45482</v>
      </c>
      <c r="E150">
        <v>15291</v>
      </c>
      <c r="F150">
        <v>28092</v>
      </c>
    </row>
    <row r="151" spans="1:6" x14ac:dyDescent="0.35">
      <c r="A151" t="s">
        <v>178</v>
      </c>
      <c r="B151">
        <v>106307</v>
      </c>
      <c r="C151">
        <v>18486</v>
      </c>
      <c r="D151">
        <v>38241</v>
      </c>
      <c r="E151">
        <v>19100</v>
      </c>
      <c r="F151">
        <v>23918</v>
      </c>
    </row>
    <row r="152" spans="1:6" x14ac:dyDescent="0.35">
      <c r="A152" t="s">
        <v>179</v>
      </c>
      <c r="B152">
        <v>76673</v>
      </c>
      <c r="C152">
        <v>17252</v>
      </c>
      <c r="D152">
        <v>43972</v>
      </c>
      <c r="E152">
        <v>36363</v>
      </c>
      <c r="F152">
        <v>11457</v>
      </c>
    </row>
    <row r="153" spans="1:6" x14ac:dyDescent="0.35">
      <c r="A153" t="s">
        <v>180</v>
      </c>
      <c r="B153">
        <v>169944</v>
      </c>
      <c r="C153">
        <v>12468</v>
      </c>
      <c r="D153">
        <v>37193</v>
      </c>
      <c r="E153">
        <v>58955</v>
      </c>
      <c r="F153">
        <v>21039</v>
      </c>
    </row>
    <row r="154" spans="1:6" x14ac:dyDescent="0.35">
      <c r="A154" t="s">
        <v>181</v>
      </c>
      <c r="B154">
        <v>188337</v>
      </c>
      <c r="C154">
        <v>25539</v>
      </c>
      <c r="D154">
        <v>59123</v>
      </c>
      <c r="E154">
        <v>40469</v>
      </c>
      <c r="F154">
        <v>25031</v>
      </c>
    </row>
    <row r="155" spans="1:6" x14ac:dyDescent="0.35">
      <c r="A155" t="s">
        <v>182</v>
      </c>
      <c r="B155">
        <v>152903</v>
      </c>
      <c r="C155">
        <v>12486</v>
      </c>
      <c r="D155">
        <v>42801</v>
      </c>
      <c r="E155">
        <v>38067</v>
      </c>
      <c r="F155">
        <v>20003</v>
      </c>
    </row>
    <row r="156" spans="1:6" x14ac:dyDescent="0.35">
      <c r="A156" t="s">
        <v>183</v>
      </c>
      <c r="B156">
        <v>211837</v>
      </c>
      <c r="C156">
        <v>16306</v>
      </c>
      <c r="D156">
        <v>73329</v>
      </c>
      <c r="E156">
        <v>59144</v>
      </c>
      <c r="F156">
        <v>28133</v>
      </c>
    </row>
    <row r="157" spans="1:6" x14ac:dyDescent="0.35">
      <c r="A157" t="s">
        <v>184</v>
      </c>
      <c r="B157">
        <v>259875</v>
      </c>
      <c r="C157">
        <v>24493</v>
      </c>
      <c r="D157">
        <v>60270</v>
      </c>
      <c r="E157">
        <v>53677</v>
      </c>
      <c r="F157">
        <v>7777</v>
      </c>
    </row>
    <row r="158" spans="1:6" x14ac:dyDescent="0.35">
      <c r="A158" t="s">
        <v>185</v>
      </c>
      <c r="B158">
        <v>226189</v>
      </c>
      <c r="C158">
        <v>13778</v>
      </c>
      <c r="D158">
        <v>40524</v>
      </c>
      <c r="E158">
        <v>22724</v>
      </c>
      <c r="F158">
        <v>12817</v>
      </c>
    </row>
    <row r="159" spans="1:6" x14ac:dyDescent="0.35">
      <c r="A159" t="s">
        <v>186</v>
      </c>
      <c r="B159">
        <v>130053</v>
      </c>
      <c r="C159">
        <v>12664</v>
      </c>
      <c r="D159">
        <v>31996</v>
      </c>
      <c r="E159">
        <v>39464</v>
      </c>
      <c r="F159">
        <v>27722</v>
      </c>
    </row>
    <row r="160" spans="1:6" x14ac:dyDescent="0.35">
      <c r="A160" t="s">
        <v>187</v>
      </c>
      <c r="B160">
        <v>87056</v>
      </c>
      <c r="C160">
        <v>38477</v>
      </c>
      <c r="D160">
        <v>45458</v>
      </c>
      <c r="E160">
        <v>42409</v>
      </c>
      <c r="F160">
        <v>24543</v>
      </c>
    </row>
    <row r="161" spans="1:6" x14ac:dyDescent="0.35">
      <c r="A161" t="s">
        <v>188</v>
      </c>
      <c r="B161">
        <v>86141</v>
      </c>
      <c r="C161">
        <v>30146</v>
      </c>
      <c r="D161">
        <v>47724</v>
      </c>
      <c r="E161">
        <v>27173</v>
      </c>
      <c r="F161">
        <v>20947</v>
      </c>
    </row>
    <row r="162" spans="1:6" x14ac:dyDescent="0.35">
      <c r="A162" t="s">
        <v>189</v>
      </c>
      <c r="B162">
        <v>216592</v>
      </c>
      <c r="C162">
        <v>16353</v>
      </c>
      <c r="D162">
        <v>56366</v>
      </c>
      <c r="E162">
        <v>25935</v>
      </c>
      <c r="F162">
        <v>21044</v>
      </c>
    </row>
    <row r="163" spans="1:6" x14ac:dyDescent="0.35">
      <c r="A163" t="s">
        <v>190</v>
      </c>
      <c r="B163">
        <v>125716</v>
      </c>
      <c r="C163">
        <v>14194</v>
      </c>
      <c r="D163">
        <v>32261</v>
      </c>
      <c r="E163">
        <v>35616</v>
      </c>
      <c r="F163">
        <v>19778</v>
      </c>
    </row>
    <row r="164" spans="1:6" x14ac:dyDescent="0.35">
      <c r="A164" t="s">
        <v>191</v>
      </c>
      <c r="B164">
        <v>212374</v>
      </c>
      <c r="C164">
        <v>8513</v>
      </c>
      <c r="D164">
        <v>76722</v>
      </c>
      <c r="E164">
        <v>38529</v>
      </c>
      <c r="F164">
        <v>5314</v>
      </c>
    </row>
    <row r="165" spans="1:6" x14ac:dyDescent="0.35">
      <c r="A165" t="s">
        <v>192</v>
      </c>
      <c r="B165">
        <v>177037</v>
      </c>
      <c r="C165">
        <v>13947</v>
      </c>
      <c r="D165">
        <v>32787</v>
      </c>
      <c r="E165">
        <v>40162</v>
      </c>
      <c r="F165">
        <v>23401</v>
      </c>
    </row>
    <row r="166" spans="1:6" x14ac:dyDescent="0.35">
      <c r="A166" t="s">
        <v>193</v>
      </c>
      <c r="B166">
        <v>182497</v>
      </c>
      <c r="C166">
        <v>37438</v>
      </c>
      <c r="D166">
        <v>46813</v>
      </c>
      <c r="E166">
        <v>59872</v>
      </c>
      <c r="F166">
        <v>21112</v>
      </c>
    </row>
    <row r="167" spans="1:6" x14ac:dyDescent="0.35">
      <c r="A167" t="s">
        <v>194</v>
      </c>
      <c r="B167">
        <v>158955</v>
      </c>
      <c r="C167">
        <v>34088</v>
      </c>
      <c r="D167">
        <v>52027</v>
      </c>
      <c r="E167">
        <v>25961</v>
      </c>
      <c r="F167">
        <v>7708</v>
      </c>
    </row>
    <row r="168" spans="1:6" x14ac:dyDescent="0.35">
      <c r="A168" t="s">
        <v>195</v>
      </c>
      <c r="B168">
        <v>198215</v>
      </c>
      <c r="C168">
        <v>7022</v>
      </c>
      <c r="D168">
        <v>72158</v>
      </c>
      <c r="E168">
        <v>29452</v>
      </c>
      <c r="F168">
        <v>14571</v>
      </c>
    </row>
    <row r="169" spans="1:6" x14ac:dyDescent="0.35">
      <c r="A169" t="s">
        <v>196</v>
      </c>
      <c r="B169">
        <v>58570</v>
      </c>
      <c r="C169">
        <v>23012</v>
      </c>
      <c r="D169">
        <v>34735</v>
      </c>
      <c r="E169">
        <v>50232</v>
      </c>
      <c r="F169">
        <v>14459</v>
      </c>
    </row>
    <row r="170" spans="1:6" x14ac:dyDescent="0.35">
      <c r="A170" t="s">
        <v>197</v>
      </c>
      <c r="B170">
        <v>94094</v>
      </c>
      <c r="C170">
        <v>34971</v>
      </c>
      <c r="D170">
        <v>57070</v>
      </c>
      <c r="E170">
        <v>47460</v>
      </c>
      <c r="F170">
        <v>23013</v>
      </c>
    </row>
    <row r="171" spans="1:6" x14ac:dyDescent="0.35">
      <c r="A171" t="s">
        <v>198</v>
      </c>
      <c r="B171">
        <v>183904</v>
      </c>
      <c r="C171">
        <v>12419</v>
      </c>
      <c r="D171">
        <v>57533</v>
      </c>
      <c r="E171">
        <v>22484</v>
      </c>
      <c r="F171">
        <v>13778</v>
      </c>
    </row>
    <row r="172" spans="1:6" x14ac:dyDescent="0.35">
      <c r="A172" t="s">
        <v>199</v>
      </c>
      <c r="B172">
        <v>253191</v>
      </c>
      <c r="C172">
        <v>29042</v>
      </c>
      <c r="D172">
        <v>55523</v>
      </c>
      <c r="E172">
        <v>17726</v>
      </c>
      <c r="F172">
        <v>29903</v>
      </c>
    </row>
    <row r="173" spans="1:6" x14ac:dyDescent="0.35">
      <c r="A173" t="s">
        <v>200</v>
      </c>
      <c r="B173">
        <v>238476</v>
      </c>
      <c r="C173">
        <v>33925</v>
      </c>
      <c r="D173">
        <v>55805</v>
      </c>
      <c r="E173">
        <v>29322</v>
      </c>
      <c r="F173">
        <v>18931</v>
      </c>
    </row>
    <row r="174" spans="1:6" x14ac:dyDescent="0.35">
      <c r="A174" t="s">
        <v>201</v>
      </c>
      <c r="B174">
        <v>76847</v>
      </c>
      <c r="C174">
        <v>21222</v>
      </c>
      <c r="D174">
        <v>39510</v>
      </c>
      <c r="E174">
        <v>17112</v>
      </c>
      <c r="F174">
        <v>19736</v>
      </c>
    </row>
    <row r="175" spans="1:6" x14ac:dyDescent="0.35">
      <c r="A175" t="s">
        <v>202</v>
      </c>
      <c r="B175">
        <v>118895</v>
      </c>
      <c r="C175">
        <v>27844</v>
      </c>
      <c r="D175">
        <v>76505</v>
      </c>
      <c r="E175">
        <v>20700</v>
      </c>
      <c r="F175">
        <v>19387</v>
      </c>
    </row>
    <row r="176" spans="1:6" x14ac:dyDescent="0.35">
      <c r="A176" t="s">
        <v>203</v>
      </c>
      <c r="B176">
        <v>276830</v>
      </c>
      <c r="C176">
        <v>12693</v>
      </c>
      <c r="D176">
        <v>70831</v>
      </c>
      <c r="E176">
        <v>30528</v>
      </c>
      <c r="F176">
        <v>11877</v>
      </c>
    </row>
    <row r="177" spans="1:6" x14ac:dyDescent="0.35">
      <c r="A177" t="s">
        <v>204</v>
      </c>
      <c r="B177">
        <v>262520</v>
      </c>
      <c r="C177">
        <v>27978</v>
      </c>
      <c r="D177">
        <v>76429</v>
      </c>
      <c r="E177">
        <v>54994</v>
      </c>
      <c r="F177">
        <v>25734</v>
      </c>
    </row>
    <row r="178" spans="1:6" x14ac:dyDescent="0.35">
      <c r="A178" t="s">
        <v>205</v>
      </c>
      <c r="B178">
        <v>162241</v>
      </c>
      <c r="C178">
        <v>15877</v>
      </c>
      <c r="D178">
        <v>60380</v>
      </c>
      <c r="E178">
        <v>24124</v>
      </c>
      <c r="F178">
        <v>11770</v>
      </c>
    </row>
    <row r="179" spans="1:6" x14ac:dyDescent="0.35">
      <c r="A179" t="s">
        <v>206</v>
      </c>
      <c r="B179">
        <v>263261</v>
      </c>
      <c r="C179">
        <v>18562</v>
      </c>
      <c r="D179">
        <v>72785</v>
      </c>
      <c r="E179">
        <v>18890</v>
      </c>
      <c r="F179">
        <v>23680</v>
      </c>
    </row>
    <row r="180" spans="1:6" x14ac:dyDescent="0.35">
      <c r="A180" t="s">
        <v>207</v>
      </c>
      <c r="B180">
        <v>141964</v>
      </c>
      <c r="C180">
        <v>39883</v>
      </c>
      <c r="D180">
        <v>38421</v>
      </c>
      <c r="E180">
        <v>54115</v>
      </c>
      <c r="F180">
        <v>22654</v>
      </c>
    </row>
    <row r="181" spans="1:6" x14ac:dyDescent="0.35">
      <c r="A181" t="s">
        <v>208</v>
      </c>
      <c r="B181">
        <v>94139</v>
      </c>
      <c r="C181">
        <v>26210</v>
      </c>
      <c r="D181">
        <v>66140</v>
      </c>
      <c r="E181">
        <v>34178</v>
      </c>
      <c r="F181">
        <v>14480</v>
      </c>
    </row>
    <row r="182" spans="1:6" x14ac:dyDescent="0.35">
      <c r="A182" t="s">
        <v>209</v>
      </c>
      <c r="B182">
        <v>200139</v>
      </c>
      <c r="C182">
        <v>22520</v>
      </c>
      <c r="D182">
        <v>76230</v>
      </c>
      <c r="E182">
        <v>48712</v>
      </c>
      <c r="F182">
        <v>27259</v>
      </c>
    </row>
    <row r="183" spans="1:6" x14ac:dyDescent="0.35">
      <c r="A183" t="s">
        <v>210</v>
      </c>
      <c r="B183">
        <v>263694</v>
      </c>
      <c r="C183">
        <v>11240</v>
      </c>
      <c r="D183">
        <v>28885</v>
      </c>
      <c r="E183">
        <v>41974</v>
      </c>
      <c r="F183">
        <v>6942</v>
      </c>
    </row>
    <row r="184" spans="1:6" x14ac:dyDescent="0.35">
      <c r="A184" t="s">
        <v>211</v>
      </c>
      <c r="B184">
        <v>122698</v>
      </c>
      <c r="C184">
        <v>13315</v>
      </c>
      <c r="D184">
        <v>65968</v>
      </c>
      <c r="E184">
        <v>23696</v>
      </c>
      <c r="F184">
        <v>13181</v>
      </c>
    </row>
    <row r="185" spans="1:6" x14ac:dyDescent="0.35">
      <c r="A185" t="s">
        <v>212</v>
      </c>
      <c r="B185">
        <v>88336</v>
      </c>
      <c r="C185">
        <v>26108</v>
      </c>
      <c r="D185">
        <v>74295</v>
      </c>
      <c r="E185">
        <v>31223</v>
      </c>
      <c r="F185">
        <v>29951</v>
      </c>
    </row>
    <row r="186" spans="1:6" x14ac:dyDescent="0.35">
      <c r="A186" t="s">
        <v>213</v>
      </c>
      <c r="B186">
        <v>271133</v>
      </c>
      <c r="C186">
        <v>30736</v>
      </c>
      <c r="D186">
        <v>52077</v>
      </c>
      <c r="E186">
        <v>24317</v>
      </c>
      <c r="F186">
        <v>23921</v>
      </c>
    </row>
    <row r="187" spans="1:6" x14ac:dyDescent="0.35">
      <c r="A187" t="s">
        <v>214</v>
      </c>
      <c r="B187">
        <v>215780</v>
      </c>
      <c r="C187">
        <v>22610</v>
      </c>
      <c r="D187">
        <v>61144</v>
      </c>
      <c r="E187">
        <v>42146</v>
      </c>
      <c r="F187">
        <v>17293</v>
      </c>
    </row>
    <row r="188" spans="1:6" x14ac:dyDescent="0.35">
      <c r="A188" t="s">
        <v>215</v>
      </c>
      <c r="B188">
        <v>168486</v>
      </c>
      <c r="C188">
        <v>9949</v>
      </c>
      <c r="D188">
        <v>61525</v>
      </c>
      <c r="E188">
        <v>21101</v>
      </c>
      <c r="F188">
        <v>18200</v>
      </c>
    </row>
    <row r="189" spans="1:6" x14ac:dyDescent="0.35">
      <c r="A189" t="s">
        <v>216</v>
      </c>
      <c r="B189">
        <v>185164</v>
      </c>
      <c r="C189">
        <v>23233</v>
      </c>
      <c r="D189">
        <v>65528</v>
      </c>
      <c r="E189">
        <v>39187</v>
      </c>
      <c r="F189">
        <v>19899</v>
      </c>
    </row>
    <row r="190" spans="1:6" x14ac:dyDescent="0.35">
      <c r="A190" t="s">
        <v>217</v>
      </c>
      <c r="B190">
        <v>299103</v>
      </c>
      <c r="C190">
        <v>36984</v>
      </c>
      <c r="D190">
        <v>41449</v>
      </c>
      <c r="E190">
        <v>53139</v>
      </c>
      <c r="F190">
        <v>5081</v>
      </c>
    </row>
    <row r="191" spans="1:6" x14ac:dyDescent="0.35">
      <c r="A191" t="s">
        <v>218</v>
      </c>
      <c r="B191">
        <v>277778</v>
      </c>
      <c r="C191">
        <v>11104</v>
      </c>
      <c r="D191">
        <v>67902</v>
      </c>
      <c r="E191">
        <v>45044</v>
      </c>
      <c r="F191">
        <v>25802</v>
      </c>
    </row>
    <row r="192" spans="1:6" x14ac:dyDescent="0.35">
      <c r="A192" t="s">
        <v>219</v>
      </c>
      <c r="B192">
        <v>224101</v>
      </c>
      <c r="C192">
        <v>28476</v>
      </c>
      <c r="D192">
        <v>75712</v>
      </c>
      <c r="E192">
        <v>19150</v>
      </c>
      <c r="F192">
        <v>22512</v>
      </c>
    </row>
    <row r="193" spans="1:6" x14ac:dyDescent="0.35">
      <c r="A193" t="s">
        <v>220</v>
      </c>
      <c r="B193">
        <v>154258</v>
      </c>
      <c r="C193">
        <v>19275</v>
      </c>
      <c r="D193">
        <v>48157</v>
      </c>
      <c r="E193">
        <v>28883</v>
      </c>
      <c r="F193">
        <v>21210</v>
      </c>
    </row>
    <row r="194" spans="1:6" x14ac:dyDescent="0.35">
      <c r="A194" t="s">
        <v>221</v>
      </c>
      <c r="B194">
        <v>120395</v>
      </c>
      <c r="C194">
        <v>26159</v>
      </c>
      <c r="D194">
        <v>74286</v>
      </c>
      <c r="E194">
        <v>33585</v>
      </c>
      <c r="F194">
        <v>16067</v>
      </c>
    </row>
    <row r="195" spans="1:6" x14ac:dyDescent="0.35">
      <c r="A195" t="s">
        <v>222</v>
      </c>
      <c r="B195">
        <v>193474</v>
      </c>
      <c r="C195">
        <v>13558</v>
      </c>
      <c r="D195">
        <v>57102</v>
      </c>
      <c r="E195">
        <v>46807</v>
      </c>
      <c r="F195">
        <v>16263</v>
      </c>
    </row>
    <row r="196" spans="1:6" x14ac:dyDescent="0.35">
      <c r="A196" t="s">
        <v>223</v>
      </c>
      <c r="B196">
        <v>284397</v>
      </c>
      <c r="C196">
        <v>8172</v>
      </c>
      <c r="D196">
        <v>23010</v>
      </c>
      <c r="E196">
        <v>21525</v>
      </c>
      <c r="F196">
        <v>25518</v>
      </c>
    </row>
    <row r="197" spans="1:6" x14ac:dyDescent="0.35">
      <c r="A197" t="s">
        <v>224</v>
      </c>
      <c r="B197">
        <v>255491</v>
      </c>
      <c r="C197">
        <v>35119</v>
      </c>
      <c r="D197">
        <v>21067</v>
      </c>
      <c r="E197">
        <v>23142</v>
      </c>
      <c r="F197">
        <v>10176</v>
      </c>
    </row>
    <row r="198" spans="1:6" x14ac:dyDescent="0.35">
      <c r="A198" t="s">
        <v>225</v>
      </c>
      <c r="B198">
        <v>165680</v>
      </c>
      <c r="C198">
        <v>34918</v>
      </c>
      <c r="D198">
        <v>20044</v>
      </c>
      <c r="E198">
        <v>43036</v>
      </c>
      <c r="F198">
        <v>11629</v>
      </c>
    </row>
    <row r="199" spans="1:6" x14ac:dyDescent="0.35">
      <c r="A199" t="s">
        <v>226</v>
      </c>
      <c r="B199">
        <v>230510</v>
      </c>
      <c r="C199">
        <v>13645</v>
      </c>
      <c r="D199">
        <v>77812</v>
      </c>
      <c r="E199">
        <v>57598</v>
      </c>
      <c r="F199">
        <v>14891</v>
      </c>
    </row>
    <row r="200" spans="1:6" x14ac:dyDescent="0.35">
      <c r="A200" t="s">
        <v>227</v>
      </c>
      <c r="B200">
        <v>91674</v>
      </c>
      <c r="C200">
        <v>22958</v>
      </c>
      <c r="D200">
        <v>26117</v>
      </c>
      <c r="E200">
        <v>57899</v>
      </c>
      <c r="F200">
        <v>16810</v>
      </c>
    </row>
    <row r="201" spans="1:6" x14ac:dyDescent="0.35">
      <c r="A201" t="s">
        <v>228</v>
      </c>
      <c r="B201">
        <v>115638</v>
      </c>
      <c r="C201">
        <v>10401</v>
      </c>
      <c r="D201">
        <v>44369</v>
      </c>
      <c r="E201">
        <v>58549</v>
      </c>
      <c r="F201">
        <v>26263</v>
      </c>
    </row>
    <row r="202" spans="1:6" x14ac:dyDescent="0.35">
      <c r="A202" t="s">
        <v>229</v>
      </c>
      <c r="B202">
        <v>93391</v>
      </c>
      <c r="C202">
        <v>8393</v>
      </c>
      <c r="D202">
        <v>45974</v>
      </c>
      <c r="E202">
        <v>55999</v>
      </c>
      <c r="F202">
        <v>15010</v>
      </c>
    </row>
    <row r="203" spans="1:6" x14ac:dyDescent="0.35">
      <c r="A203" t="s">
        <v>230</v>
      </c>
      <c r="B203">
        <v>240313</v>
      </c>
      <c r="C203">
        <v>20344</v>
      </c>
      <c r="D203">
        <v>48130</v>
      </c>
      <c r="E203">
        <v>57957</v>
      </c>
      <c r="F203">
        <v>7988</v>
      </c>
    </row>
    <row r="204" spans="1:6" x14ac:dyDescent="0.35">
      <c r="A204" t="s">
        <v>231</v>
      </c>
      <c r="B204">
        <v>234470</v>
      </c>
      <c r="C204">
        <v>11237</v>
      </c>
      <c r="D204">
        <v>20071</v>
      </c>
      <c r="E204">
        <v>28986</v>
      </c>
      <c r="F204">
        <v>20624</v>
      </c>
    </row>
    <row r="205" spans="1:6" x14ac:dyDescent="0.35">
      <c r="A205" t="s">
        <v>232</v>
      </c>
      <c r="B205">
        <v>70431</v>
      </c>
      <c r="C205">
        <v>13696</v>
      </c>
      <c r="D205">
        <v>58907</v>
      </c>
      <c r="E205">
        <v>29823</v>
      </c>
      <c r="F205">
        <v>22021</v>
      </c>
    </row>
    <row r="206" spans="1:6" x14ac:dyDescent="0.35">
      <c r="A206" t="s">
        <v>233</v>
      </c>
      <c r="B206">
        <v>228253</v>
      </c>
      <c r="C206">
        <v>34167</v>
      </c>
      <c r="D206">
        <v>20608</v>
      </c>
      <c r="E206">
        <v>15528</v>
      </c>
      <c r="F206">
        <v>27793</v>
      </c>
    </row>
    <row r="207" spans="1:6" x14ac:dyDescent="0.35">
      <c r="A207" t="s">
        <v>234</v>
      </c>
      <c r="B207">
        <v>140065</v>
      </c>
      <c r="C207">
        <v>12903</v>
      </c>
      <c r="D207">
        <v>76383</v>
      </c>
      <c r="E207">
        <v>42676</v>
      </c>
      <c r="F207">
        <v>27742</v>
      </c>
    </row>
    <row r="208" spans="1:6" x14ac:dyDescent="0.35">
      <c r="A208" t="s">
        <v>235</v>
      </c>
      <c r="B208">
        <v>84648</v>
      </c>
      <c r="C208">
        <v>36306</v>
      </c>
      <c r="D208">
        <v>24641</v>
      </c>
      <c r="E208">
        <v>30004</v>
      </c>
      <c r="F208">
        <v>17552</v>
      </c>
    </row>
    <row r="209" spans="1:6" x14ac:dyDescent="0.35">
      <c r="A209" t="s">
        <v>236</v>
      </c>
      <c r="B209">
        <v>73417</v>
      </c>
      <c r="C209">
        <v>11712</v>
      </c>
      <c r="D209">
        <v>26763</v>
      </c>
      <c r="E209">
        <v>35535</v>
      </c>
      <c r="F209">
        <v>17044</v>
      </c>
    </row>
    <row r="210" spans="1:6" x14ac:dyDescent="0.35">
      <c r="A210" t="s">
        <v>237</v>
      </c>
      <c r="B210">
        <v>280945</v>
      </c>
      <c r="C210">
        <v>24611</v>
      </c>
      <c r="D210">
        <v>28986</v>
      </c>
      <c r="E210">
        <v>40082</v>
      </c>
      <c r="F210">
        <v>29679</v>
      </c>
    </row>
    <row r="211" spans="1:6" x14ac:dyDescent="0.35">
      <c r="A211" t="s">
        <v>238</v>
      </c>
      <c r="B211">
        <v>279244</v>
      </c>
      <c r="C211">
        <v>13725</v>
      </c>
      <c r="D211">
        <v>62046</v>
      </c>
      <c r="E211">
        <v>59376</v>
      </c>
      <c r="F211">
        <v>9681</v>
      </c>
    </row>
    <row r="212" spans="1:6" x14ac:dyDescent="0.35">
      <c r="A212" t="s">
        <v>239</v>
      </c>
      <c r="B212">
        <v>67933</v>
      </c>
      <c r="C212">
        <v>39767</v>
      </c>
      <c r="D212">
        <v>56915</v>
      </c>
      <c r="E212">
        <v>15555</v>
      </c>
      <c r="F212">
        <v>24998</v>
      </c>
    </row>
    <row r="213" spans="1:6" x14ac:dyDescent="0.35">
      <c r="A213" t="s">
        <v>240</v>
      </c>
      <c r="B213">
        <v>220398</v>
      </c>
      <c r="C213">
        <v>15755</v>
      </c>
      <c r="D213">
        <v>48842</v>
      </c>
      <c r="E213">
        <v>38015</v>
      </c>
      <c r="F213">
        <v>28672</v>
      </c>
    </row>
    <row r="214" spans="1:6" x14ac:dyDescent="0.35">
      <c r="A214" t="s">
        <v>241</v>
      </c>
      <c r="B214">
        <v>105851</v>
      </c>
      <c r="C214">
        <v>14920</v>
      </c>
      <c r="D214">
        <v>46981</v>
      </c>
      <c r="E214">
        <v>55375</v>
      </c>
      <c r="F214">
        <v>27497</v>
      </c>
    </row>
    <row r="215" spans="1:6" x14ac:dyDescent="0.35">
      <c r="A215" t="s">
        <v>242</v>
      </c>
      <c r="B215">
        <v>165968</v>
      </c>
      <c r="C215">
        <v>19237</v>
      </c>
      <c r="D215">
        <v>25681</v>
      </c>
      <c r="E215">
        <v>21584</v>
      </c>
      <c r="F215">
        <v>9587</v>
      </c>
    </row>
    <row r="216" spans="1:6" x14ac:dyDescent="0.35">
      <c r="A216" t="s">
        <v>243</v>
      </c>
      <c r="B216">
        <v>247249</v>
      </c>
      <c r="C216">
        <v>13071</v>
      </c>
      <c r="D216">
        <v>58638</v>
      </c>
      <c r="E216">
        <v>40167</v>
      </c>
      <c r="F216">
        <v>16519</v>
      </c>
    </row>
    <row r="217" spans="1:6" x14ac:dyDescent="0.35">
      <c r="A217" t="s">
        <v>244</v>
      </c>
      <c r="B217">
        <v>162561</v>
      </c>
      <c r="C217">
        <v>25611</v>
      </c>
      <c r="D217">
        <v>71844</v>
      </c>
      <c r="E217">
        <v>24163</v>
      </c>
      <c r="F217">
        <v>13119</v>
      </c>
    </row>
    <row r="218" spans="1:6" x14ac:dyDescent="0.35">
      <c r="A218" t="s">
        <v>245</v>
      </c>
      <c r="B218">
        <v>122605</v>
      </c>
      <c r="C218">
        <v>10521</v>
      </c>
      <c r="D218">
        <v>36263</v>
      </c>
      <c r="E218">
        <v>51267</v>
      </c>
      <c r="F218">
        <v>24693</v>
      </c>
    </row>
    <row r="219" spans="1:6" x14ac:dyDescent="0.35">
      <c r="A219" t="s">
        <v>246</v>
      </c>
      <c r="B219">
        <v>207288</v>
      </c>
      <c r="C219">
        <v>23672</v>
      </c>
      <c r="D219">
        <v>71050</v>
      </c>
      <c r="E219">
        <v>16757</v>
      </c>
      <c r="F219">
        <v>26574</v>
      </c>
    </row>
    <row r="220" spans="1:6" x14ac:dyDescent="0.35">
      <c r="A220" t="s">
        <v>247</v>
      </c>
      <c r="B220">
        <v>279592</v>
      </c>
      <c r="C220">
        <v>24768</v>
      </c>
      <c r="D220">
        <v>33464</v>
      </c>
      <c r="E220">
        <v>48931</v>
      </c>
      <c r="F220">
        <v>24887</v>
      </c>
    </row>
    <row r="221" spans="1:6" x14ac:dyDescent="0.35">
      <c r="A221" t="s">
        <v>248</v>
      </c>
      <c r="B221">
        <v>183568</v>
      </c>
      <c r="C221">
        <v>17363</v>
      </c>
      <c r="D221">
        <v>69010</v>
      </c>
      <c r="E221">
        <v>40673</v>
      </c>
      <c r="F221">
        <v>14684</v>
      </c>
    </row>
    <row r="222" spans="1:6" x14ac:dyDescent="0.35">
      <c r="A222" t="s">
        <v>249</v>
      </c>
      <c r="B222">
        <v>219389</v>
      </c>
      <c r="C222">
        <v>8576</v>
      </c>
      <c r="D222">
        <v>71367</v>
      </c>
      <c r="E222">
        <v>30685</v>
      </c>
      <c r="F222">
        <v>21216</v>
      </c>
    </row>
    <row r="223" spans="1:6" x14ac:dyDescent="0.35">
      <c r="A223" t="s">
        <v>250</v>
      </c>
      <c r="B223">
        <v>151157</v>
      </c>
      <c r="C223">
        <v>12388</v>
      </c>
      <c r="D223">
        <v>35799</v>
      </c>
      <c r="E223">
        <v>47740</v>
      </c>
      <c r="F223">
        <v>25908</v>
      </c>
    </row>
    <row r="224" spans="1:6" x14ac:dyDescent="0.35">
      <c r="A224" t="s">
        <v>251</v>
      </c>
      <c r="B224">
        <v>205695</v>
      </c>
      <c r="C224">
        <v>9653</v>
      </c>
      <c r="D224">
        <v>54621</v>
      </c>
      <c r="E224">
        <v>15790</v>
      </c>
      <c r="F224">
        <v>16832</v>
      </c>
    </row>
    <row r="225" spans="1:6" x14ac:dyDescent="0.35">
      <c r="A225" t="s">
        <v>252</v>
      </c>
      <c r="B225">
        <v>294822</v>
      </c>
      <c r="C225">
        <v>25740</v>
      </c>
      <c r="D225">
        <v>28649</v>
      </c>
      <c r="E225">
        <v>40351</v>
      </c>
      <c r="F225">
        <v>23624</v>
      </c>
    </row>
    <row r="226" spans="1:6" x14ac:dyDescent="0.35">
      <c r="A226" t="s">
        <v>253</v>
      </c>
      <c r="B226">
        <v>160326</v>
      </c>
      <c r="C226">
        <v>28947</v>
      </c>
      <c r="D226">
        <v>55806</v>
      </c>
      <c r="E226">
        <v>59757</v>
      </c>
      <c r="F226">
        <v>10661</v>
      </c>
    </row>
    <row r="227" spans="1:6" x14ac:dyDescent="0.35">
      <c r="A227" t="s">
        <v>254</v>
      </c>
      <c r="B227">
        <v>249944</v>
      </c>
      <c r="C227">
        <v>35868</v>
      </c>
      <c r="D227">
        <v>70486</v>
      </c>
      <c r="E227">
        <v>19783</v>
      </c>
      <c r="F227">
        <v>5546</v>
      </c>
    </row>
    <row r="228" spans="1:6" x14ac:dyDescent="0.35">
      <c r="A228" t="s">
        <v>255</v>
      </c>
      <c r="B228">
        <v>203973</v>
      </c>
      <c r="C228">
        <v>9425</v>
      </c>
      <c r="D228">
        <v>20903</v>
      </c>
      <c r="E228">
        <v>32182</v>
      </c>
      <c r="F228">
        <v>12069</v>
      </c>
    </row>
    <row r="229" spans="1:6" x14ac:dyDescent="0.35">
      <c r="A229" t="s">
        <v>256</v>
      </c>
      <c r="B229">
        <v>60440</v>
      </c>
      <c r="C229">
        <v>8962</v>
      </c>
      <c r="D229">
        <v>71726</v>
      </c>
      <c r="E229">
        <v>41081</v>
      </c>
      <c r="F229">
        <v>21600</v>
      </c>
    </row>
    <row r="230" spans="1:6" x14ac:dyDescent="0.35">
      <c r="A230" t="s">
        <v>257</v>
      </c>
      <c r="B230">
        <v>125101</v>
      </c>
      <c r="C230">
        <v>37836</v>
      </c>
      <c r="D230">
        <v>70273</v>
      </c>
      <c r="E230">
        <v>42225</v>
      </c>
      <c r="F230">
        <v>18879</v>
      </c>
    </row>
    <row r="231" spans="1:6" x14ac:dyDescent="0.35">
      <c r="A231" t="s">
        <v>258</v>
      </c>
      <c r="B231">
        <v>233975</v>
      </c>
      <c r="C231">
        <v>31363</v>
      </c>
      <c r="D231">
        <v>25401</v>
      </c>
      <c r="E231">
        <v>56978</v>
      </c>
      <c r="F231">
        <v>22582</v>
      </c>
    </row>
    <row r="232" spans="1:6" x14ac:dyDescent="0.35">
      <c r="A232" t="s">
        <v>259</v>
      </c>
      <c r="B232">
        <v>190943</v>
      </c>
      <c r="C232">
        <v>15006</v>
      </c>
      <c r="D232">
        <v>38184</v>
      </c>
      <c r="E232">
        <v>20478</v>
      </c>
      <c r="F232">
        <v>15155</v>
      </c>
    </row>
    <row r="233" spans="1:6" x14ac:dyDescent="0.35">
      <c r="A233" t="s">
        <v>260</v>
      </c>
      <c r="B233">
        <v>70715</v>
      </c>
      <c r="C233">
        <v>38508</v>
      </c>
      <c r="D233">
        <v>33316</v>
      </c>
      <c r="E233">
        <v>25182</v>
      </c>
      <c r="F233">
        <v>22576</v>
      </c>
    </row>
    <row r="234" spans="1:6" x14ac:dyDescent="0.35">
      <c r="A234" t="s">
        <v>261</v>
      </c>
      <c r="B234">
        <v>135655</v>
      </c>
      <c r="C234">
        <v>30606</v>
      </c>
      <c r="D234">
        <v>58432</v>
      </c>
      <c r="E234">
        <v>56569</v>
      </c>
      <c r="F234">
        <v>26293</v>
      </c>
    </row>
    <row r="235" spans="1:6" x14ac:dyDescent="0.35">
      <c r="A235" t="s">
        <v>262</v>
      </c>
      <c r="B235">
        <v>228534</v>
      </c>
      <c r="C235">
        <v>9332</v>
      </c>
      <c r="D235">
        <v>40327</v>
      </c>
      <c r="E235">
        <v>43671</v>
      </c>
      <c r="F235">
        <v>28919</v>
      </c>
    </row>
    <row r="236" spans="1:6" x14ac:dyDescent="0.35">
      <c r="A236" t="s">
        <v>263</v>
      </c>
      <c r="B236">
        <v>299935</v>
      </c>
      <c r="C236">
        <v>20639</v>
      </c>
      <c r="D236">
        <v>23794</v>
      </c>
      <c r="E236">
        <v>31022</v>
      </c>
      <c r="F236">
        <v>7825</v>
      </c>
    </row>
    <row r="237" spans="1:6" x14ac:dyDescent="0.35">
      <c r="A237" t="s">
        <v>264</v>
      </c>
      <c r="B237">
        <v>292385</v>
      </c>
      <c r="C237">
        <v>33474</v>
      </c>
      <c r="D237">
        <v>27601</v>
      </c>
      <c r="E237">
        <v>44712</v>
      </c>
      <c r="F237">
        <v>25063</v>
      </c>
    </row>
    <row r="238" spans="1:6" x14ac:dyDescent="0.35">
      <c r="A238" t="s">
        <v>265</v>
      </c>
      <c r="B238">
        <v>209601</v>
      </c>
      <c r="C238">
        <v>8606</v>
      </c>
      <c r="D238">
        <v>40269</v>
      </c>
      <c r="E238">
        <v>58652</v>
      </c>
      <c r="F238">
        <v>29303</v>
      </c>
    </row>
    <row r="239" spans="1:6" x14ac:dyDescent="0.35">
      <c r="A239" t="s">
        <v>266</v>
      </c>
      <c r="B239">
        <v>222504</v>
      </c>
      <c r="C239">
        <v>16511</v>
      </c>
      <c r="D239">
        <v>27827</v>
      </c>
      <c r="E239">
        <v>15830</v>
      </c>
      <c r="F239">
        <v>28196</v>
      </c>
    </row>
    <row r="240" spans="1:6" x14ac:dyDescent="0.35">
      <c r="A240" t="s">
        <v>267</v>
      </c>
      <c r="B240">
        <v>85969</v>
      </c>
      <c r="C240">
        <v>5743</v>
      </c>
      <c r="D240">
        <v>30736</v>
      </c>
      <c r="E240">
        <v>47532</v>
      </c>
      <c r="F240">
        <v>16360</v>
      </c>
    </row>
    <row r="241" spans="1:6" x14ac:dyDescent="0.35">
      <c r="A241" t="s">
        <v>268</v>
      </c>
      <c r="B241">
        <v>187102</v>
      </c>
      <c r="C241">
        <v>38896</v>
      </c>
      <c r="D241">
        <v>71313</v>
      </c>
      <c r="E241">
        <v>31990</v>
      </c>
      <c r="F241">
        <v>10471</v>
      </c>
    </row>
    <row r="242" spans="1:6" x14ac:dyDescent="0.35">
      <c r="A242" t="s">
        <v>269</v>
      </c>
      <c r="B242">
        <v>147483</v>
      </c>
      <c r="C242">
        <v>13318</v>
      </c>
      <c r="D242">
        <v>69137</v>
      </c>
      <c r="E242">
        <v>32613</v>
      </c>
      <c r="F242">
        <v>29016</v>
      </c>
    </row>
    <row r="243" spans="1:6" x14ac:dyDescent="0.35">
      <c r="A243" t="s">
        <v>270</v>
      </c>
      <c r="B243">
        <v>282368</v>
      </c>
      <c r="C243">
        <v>12736</v>
      </c>
      <c r="D243">
        <v>70556</v>
      </c>
      <c r="E243">
        <v>16923</v>
      </c>
      <c r="F243">
        <v>15977</v>
      </c>
    </row>
    <row r="244" spans="1:6" x14ac:dyDescent="0.35">
      <c r="A244" t="s">
        <v>271</v>
      </c>
      <c r="B244">
        <v>261578</v>
      </c>
      <c r="C244">
        <v>33136</v>
      </c>
      <c r="D244">
        <v>37824</v>
      </c>
      <c r="E244">
        <v>49331</v>
      </c>
      <c r="F244">
        <v>7092</v>
      </c>
    </row>
    <row r="245" spans="1:6" x14ac:dyDescent="0.35">
      <c r="A245" t="s">
        <v>272</v>
      </c>
      <c r="B245">
        <v>118930</v>
      </c>
      <c r="C245">
        <v>10050</v>
      </c>
      <c r="D245">
        <v>52515</v>
      </c>
      <c r="E245">
        <v>44831</v>
      </c>
      <c r="F245">
        <v>21737</v>
      </c>
    </row>
    <row r="246" spans="1:6" x14ac:dyDescent="0.35">
      <c r="A246" t="s">
        <v>273</v>
      </c>
      <c r="B246">
        <v>144404</v>
      </c>
      <c r="C246">
        <v>8633</v>
      </c>
      <c r="D246">
        <v>52742</v>
      </c>
      <c r="E246">
        <v>52151</v>
      </c>
      <c r="F246">
        <v>10468</v>
      </c>
    </row>
    <row r="247" spans="1:6" x14ac:dyDescent="0.35">
      <c r="A247" t="s">
        <v>274</v>
      </c>
      <c r="B247">
        <v>146387</v>
      </c>
      <c r="C247">
        <v>15309</v>
      </c>
      <c r="D247">
        <v>36719</v>
      </c>
      <c r="E247">
        <v>21743</v>
      </c>
      <c r="F247">
        <v>23805</v>
      </c>
    </row>
    <row r="248" spans="1:6" x14ac:dyDescent="0.35">
      <c r="A248" t="s">
        <v>275</v>
      </c>
      <c r="B248">
        <v>226716</v>
      </c>
      <c r="C248">
        <v>12558</v>
      </c>
      <c r="D248">
        <v>34968</v>
      </c>
      <c r="E248">
        <v>48346</v>
      </c>
      <c r="F248">
        <v>5084</v>
      </c>
    </row>
    <row r="249" spans="1:6" x14ac:dyDescent="0.35">
      <c r="A249" t="s">
        <v>276</v>
      </c>
      <c r="B249">
        <v>61544</v>
      </c>
      <c r="C249">
        <v>5805</v>
      </c>
      <c r="D249">
        <v>36026</v>
      </c>
      <c r="E249">
        <v>18013</v>
      </c>
      <c r="F249">
        <v>20458</v>
      </c>
    </row>
    <row r="250" spans="1:6" x14ac:dyDescent="0.35">
      <c r="A250" t="s">
        <v>277</v>
      </c>
      <c r="B250">
        <v>145414</v>
      </c>
      <c r="C250">
        <v>30098</v>
      </c>
      <c r="D250">
        <v>29835</v>
      </c>
      <c r="E250">
        <v>26728</v>
      </c>
      <c r="F250">
        <v>6158</v>
      </c>
    </row>
    <row r="251" spans="1:6" x14ac:dyDescent="0.35">
      <c r="A251" t="s">
        <v>278</v>
      </c>
      <c r="B251">
        <v>194930</v>
      </c>
      <c r="C251">
        <v>32483</v>
      </c>
      <c r="D251">
        <v>34713</v>
      </c>
      <c r="E251">
        <v>36089</v>
      </c>
      <c r="F251">
        <v>13135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Shipments</vt:lpstr>
      <vt:lpstr>Analysis</vt:lpstr>
      <vt:lpstr>Dashboard</vt:lpstr>
      <vt:lpstr>Cost_Breakdown</vt:lpstr>
      <vt:lpstr>AVGC</vt:lpstr>
      <vt:lpstr>FCV</vt:lpstr>
      <vt:lpstr>OTD</vt:lpstr>
      <vt:lpstr>TFC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amudipe ayomide</cp:lastModifiedBy>
  <dcterms:created xsi:type="dcterms:W3CDTF">2025-11-08T20:53:12Z</dcterms:created>
  <dcterms:modified xsi:type="dcterms:W3CDTF">2025-12-01T12:53:04Z</dcterms:modified>
</cp:coreProperties>
</file>